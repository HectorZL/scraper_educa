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2DO\NOTAS\"/>
    </mc:Choice>
  </mc:AlternateContent>
  <xr:revisionPtr revIDLastSave="0" documentId="8_{479ECA0D-E222-4329-B5C7-79E2654CA099}" xr6:coauthVersionLast="47" xr6:coauthVersionMax="47" xr10:uidLastSave="{00000000-0000-0000-0000-000000000000}"/>
  <bookViews>
    <workbookView xWindow="-120" yWindow="-120" windowWidth="20730" windowHeight="11040" xr2:uid="{F9CB4EE3-AB51-4340-A20C-9F89C8C52757}"/>
  </bookViews>
  <sheets>
    <sheet name="CONSOLIDADO 2DO TRIM. 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3" i="1" l="1"/>
  <c r="C63" i="1"/>
  <c r="G62" i="1"/>
  <c r="C62" i="1"/>
  <c r="C58" i="1"/>
  <c r="C57" i="1"/>
  <c r="C56" i="1"/>
  <c r="C55" i="1"/>
  <c r="C54" i="1"/>
  <c r="C53" i="1"/>
  <c r="C52" i="1"/>
  <c r="J48" i="1"/>
  <c r="I48" i="1"/>
  <c r="H48" i="1"/>
  <c r="G48" i="1"/>
  <c r="F48" i="1"/>
  <c r="K48" i="1" s="1"/>
  <c r="E48" i="1"/>
  <c r="D48" i="1"/>
  <c r="C48" i="1"/>
  <c r="B48" i="1"/>
  <c r="J47" i="1"/>
  <c r="I47" i="1"/>
  <c r="H47" i="1"/>
  <c r="G47" i="1"/>
  <c r="F47" i="1"/>
  <c r="E47" i="1"/>
  <c r="D47" i="1"/>
  <c r="K47" i="1" s="1"/>
  <c r="C47" i="1"/>
  <c r="B47" i="1"/>
  <c r="J46" i="1"/>
  <c r="K46" i="1" s="1"/>
  <c r="I46" i="1"/>
  <c r="H46" i="1"/>
  <c r="G46" i="1"/>
  <c r="F46" i="1"/>
  <c r="E46" i="1"/>
  <c r="D46" i="1"/>
  <c r="C46" i="1"/>
  <c r="B46" i="1"/>
  <c r="J45" i="1"/>
  <c r="I45" i="1"/>
  <c r="H45" i="1"/>
  <c r="G45" i="1"/>
  <c r="F45" i="1"/>
  <c r="E45" i="1"/>
  <c r="D45" i="1"/>
  <c r="K45" i="1" s="1"/>
  <c r="C45" i="1"/>
  <c r="B45" i="1"/>
  <c r="J44" i="1"/>
  <c r="I44" i="1"/>
  <c r="H44" i="1"/>
  <c r="G44" i="1"/>
  <c r="F44" i="1"/>
  <c r="E44" i="1"/>
  <c r="D44" i="1"/>
  <c r="K44" i="1" s="1"/>
  <c r="C44" i="1"/>
  <c r="B44" i="1"/>
  <c r="J43" i="1"/>
  <c r="I43" i="1"/>
  <c r="H43" i="1"/>
  <c r="K43" i="1" s="1"/>
  <c r="G43" i="1"/>
  <c r="F43" i="1"/>
  <c r="E43" i="1"/>
  <c r="D43" i="1"/>
  <c r="C43" i="1"/>
  <c r="B43" i="1"/>
  <c r="J42" i="1"/>
  <c r="I42" i="1"/>
  <c r="H42" i="1"/>
  <c r="G42" i="1"/>
  <c r="F42" i="1"/>
  <c r="E42" i="1"/>
  <c r="D42" i="1"/>
  <c r="K42" i="1" s="1"/>
  <c r="C42" i="1"/>
  <c r="B42" i="1"/>
  <c r="J41" i="1"/>
  <c r="I41" i="1"/>
  <c r="H41" i="1"/>
  <c r="G41" i="1"/>
  <c r="F41" i="1"/>
  <c r="E41" i="1"/>
  <c r="D41" i="1"/>
  <c r="K41" i="1" s="1"/>
  <c r="C41" i="1"/>
  <c r="B41" i="1"/>
  <c r="J40" i="1"/>
  <c r="I40" i="1"/>
  <c r="H40" i="1"/>
  <c r="G40" i="1"/>
  <c r="F40" i="1"/>
  <c r="K40" i="1" s="1"/>
  <c r="E40" i="1"/>
  <c r="D40" i="1"/>
  <c r="C40" i="1"/>
  <c r="B40" i="1"/>
  <c r="J39" i="1"/>
  <c r="I39" i="1"/>
  <c r="H39" i="1"/>
  <c r="G39" i="1"/>
  <c r="F39" i="1"/>
  <c r="E39" i="1"/>
  <c r="D39" i="1"/>
  <c r="K39" i="1" s="1"/>
  <c r="C39" i="1"/>
  <c r="B39" i="1"/>
  <c r="J38" i="1"/>
  <c r="K38" i="1" s="1"/>
  <c r="I38" i="1"/>
  <c r="H38" i="1"/>
  <c r="G38" i="1"/>
  <c r="F38" i="1"/>
  <c r="E38" i="1"/>
  <c r="D38" i="1"/>
  <c r="C38" i="1"/>
  <c r="B38" i="1"/>
  <c r="J37" i="1"/>
  <c r="I37" i="1"/>
  <c r="H37" i="1"/>
  <c r="G37" i="1"/>
  <c r="F37" i="1"/>
  <c r="E37" i="1"/>
  <c r="D37" i="1"/>
  <c r="K37" i="1" s="1"/>
  <c r="C37" i="1"/>
  <c r="B37" i="1"/>
  <c r="J36" i="1"/>
  <c r="I36" i="1"/>
  <c r="H36" i="1"/>
  <c r="G36" i="1"/>
  <c r="F36" i="1"/>
  <c r="E36" i="1"/>
  <c r="D36" i="1"/>
  <c r="K36" i="1" s="1"/>
  <c r="C36" i="1"/>
  <c r="B36" i="1"/>
  <c r="J35" i="1"/>
  <c r="I35" i="1"/>
  <c r="H35" i="1"/>
  <c r="K35" i="1" s="1"/>
  <c r="G35" i="1"/>
  <c r="F35" i="1"/>
  <c r="E35" i="1"/>
  <c r="D35" i="1"/>
  <c r="C35" i="1"/>
  <c r="B35" i="1"/>
  <c r="J34" i="1"/>
  <c r="I34" i="1"/>
  <c r="H34" i="1"/>
  <c r="G34" i="1"/>
  <c r="F34" i="1"/>
  <c r="E34" i="1"/>
  <c r="D34" i="1"/>
  <c r="K34" i="1" s="1"/>
  <c r="C34" i="1"/>
  <c r="B34" i="1"/>
  <c r="J33" i="1"/>
  <c r="I33" i="1"/>
  <c r="H33" i="1"/>
  <c r="G33" i="1"/>
  <c r="F33" i="1"/>
  <c r="E33" i="1"/>
  <c r="D33" i="1"/>
  <c r="K33" i="1" s="1"/>
  <c r="C33" i="1"/>
  <c r="B33" i="1"/>
  <c r="J32" i="1"/>
  <c r="I32" i="1"/>
  <c r="H32" i="1"/>
  <c r="G32" i="1"/>
  <c r="F32" i="1"/>
  <c r="K32" i="1" s="1"/>
  <c r="E32" i="1"/>
  <c r="D32" i="1"/>
  <c r="C32" i="1"/>
  <c r="B32" i="1"/>
  <c r="J31" i="1"/>
  <c r="I31" i="1"/>
  <c r="H31" i="1"/>
  <c r="G31" i="1"/>
  <c r="F31" i="1"/>
  <c r="E31" i="1"/>
  <c r="D31" i="1"/>
  <c r="K31" i="1" s="1"/>
  <c r="C31" i="1"/>
  <c r="B31" i="1"/>
  <c r="J30" i="1"/>
  <c r="K30" i="1" s="1"/>
  <c r="I30" i="1"/>
  <c r="H30" i="1"/>
  <c r="G30" i="1"/>
  <c r="F30" i="1"/>
  <c r="E30" i="1"/>
  <c r="D30" i="1"/>
  <c r="C30" i="1"/>
  <c r="B30" i="1"/>
  <c r="J29" i="1"/>
  <c r="I29" i="1"/>
  <c r="H29" i="1"/>
  <c r="G29" i="1"/>
  <c r="F29" i="1"/>
  <c r="E29" i="1"/>
  <c r="D29" i="1"/>
  <c r="K29" i="1" s="1"/>
  <c r="C29" i="1"/>
  <c r="B29" i="1"/>
  <c r="J28" i="1"/>
  <c r="I28" i="1"/>
  <c r="H28" i="1"/>
  <c r="G28" i="1"/>
  <c r="F28" i="1"/>
  <c r="E28" i="1"/>
  <c r="D28" i="1"/>
  <c r="K28" i="1" s="1"/>
  <c r="C28" i="1"/>
  <c r="B28" i="1"/>
  <c r="J27" i="1"/>
  <c r="I27" i="1"/>
  <c r="H27" i="1"/>
  <c r="K27" i="1" s="1"/>
  <c r="G27" i="1"/>
  <c r="F27" i="1"/>
  <c r="E27" i="1"/>
  <c r="D27" i="1"/>
  <c r="C27" i="1"/>
  <c r="B27" i="1"/>
  <c r="J26" i="1"/>
  <c r="I26" i="1"/>
  <c r="H26" i="1"/>
  <c r="G26" i="1"/>
  <c r="F26" i="1"/>
  <c r="E26" i="1"/>
  <c r="D26" i="1"/>
  <c r="K26" i="1" s="1"/>
  <c r="C26" i="1"/>
  <c r="B26" i="1"/>
  <c r="J25" i="1"/>
  <c r="I25" i="1"/>
  <c r="H25" i="1"/>
  <c r="G25" i="1"/>
  <c r="F25" i="1"/>
  <c r="E25" i="1"/>
  <c r="D25" i="1"/>
  <c r="K25" i="1" s="1"/>
  <c r="C25" i="1"/>
  <c r="B25" i="1"/>
  <c r="J24" i="1"/>
  <c r="I24" i="1"/>
  <c r="H24" i="1"/>
  <c r="G24" i="1"/>
  <c r="F24" i="1"/>
  <c r="K24" i="1" s="1"/>
  <c r="E24" i="1"/>
  <c r="D24" i="1"/>
  <c r="C24" i="1"/>
  <c r="B24" i="1"/>
  <c r="J23" i="1"/>
  <c r="I23" i="1"/>
  <c r="H23" i="1"/>
  <c r="G23" i="1"/>
  <c r="F23" i="1"/>
  <c r="E23" i="1"/>
  <c r="D23" i="1"/>
  <c r="K23" i="1" s="1"/>
  <c r="C23" i="1"/>
  <c r="B23" i="1"/>
  <c r="J22" i="1"/>
  <c r="K22" i="1" s="1"/>
  <c r="I22" i="1"/>
  <c r="H22" i="1"/>
  <c r="G22" i="1"/>
  <c r="F22" i="1"/>
  <c r="E22" i="1"/>
  <c r="D22" i="1"/>
  <c r="C22" i="1"/>
  <c r="B22" i="1"/>
  <c r="J21" i="1"/>
  <c r="I21" i="1"/>
  <c r="H21" i="1"/>
  <c r="G21" i="1"/>
  <c r="F21" i="1"/>
  <c r="E21" i="1"/>
  <c r="D21" i="1"/>
  <c r="K21" i="1" s="1"/>
  <c r="C21" i="1"/>
  <c r="B21" i="1"/>
  <c r="J20" i="1"/>
  <c r="I20" i="1"/>
  <c r="H20" i="1"/>
  <c r="G20" i="1"/>
  <c r="F20" i="1"/>
  <c r="E20" i="1"/>
  <c r="D20" i="1"/>
  <c r="K20" i="1" s="1"/>
  <c r="C20" i="1"/>
  <c r="B20" i="1"/>
  <c r="J19" i="1"/>
  <c r="I19" i="1"/>
  <c r="H19" i="1"/>
  <c r="K19" i="1" s="1"/>
  <c r="G19" i="1"/>
  <c r="F19" i="1"/>
  <c r="E19" i="1"/>
  <c r="D19" i="1"/>
  <c r="C19" i="1"/>
  <c r="B19" i="1"/>
  <c r="J18" i="1"/>
  <c r="I18" i="1"/>
  <c r="H18" i="1"/>
  <c r="G18" i="1"/>
  <c r="F18" i="1"/>
  <c r="E18" i="1"/>
  <c r="D18" i="1"/>
  <c r="K18" i="1" s="1"/>
  <c r="C18" i="1"/>
  <c r="B18" i="1"/>
  <c r="J17" i="1"/>
  <c r="I17" i="1"/>
  <c r="H17" i="1"/>
  <c r="G17" i="1"/>
  <c r="F17" i="1"/>
  <c r="E17" i="1"/>
  <c r="D17" i="1"/>
  <c r="K17" i="1" s="1"/>
  <c r="C17" i="1"/>
  <c r="B17" i="1"/>
  <c r="J16" i="1"/>
  <c r="I16" i="1"/>
  <c r="H16" i="1"/>
  <c r="G16" i="1"/>
  <c r="F16" i="1"/>
  <c r="K16" i="1" s="1"/>
  <c r="E16" i="1"/>
  <c r="D16" i="1"/>
  <c r="C16" i="1"/>
  <c r="B16" i="1"/>
  <c r="J15" i="1"/>
  <c r="I15" i="1"/>
  <c r="H15" i="1"/>
  <c r="G15" i="1"/>
  <c r="F15" i="1"/>
  <c r="E15" i="1"/>
  <c r="D15" i="1"/>
  <c r="K15" i="1" s="1"/>
  <c r="C15" i="1"/>
  <c r="B15" i="1"/>
  <c r="J14" i="1"/>
  <c r="K14" i="1" s="1"/>
  <c r="I14" i="1"/>
  <c r="H14" i="1"/>
  <c r="G14" i="1"/>
  <c r="F14" i="1"/>
  <c r="E14" i="1"/>
  <c r="D14" i="1"/>
  <c r="C14" i="1"/>
  <c r="B14" i="1"/>
  <c r="J13" i="1"/>
  <c r="I13" i="1"/>
  <c r="H13" i="1"/>
  <c r="G13" i="1"/>
  <c r="F13" i="1"/>
  <c r="E13" i="1"/>
  <c r="D13" i="1"/>
  <c r="K13" i="1" s="1"/>
  <c r="C13" i="1"/>
  <c r="B13" i="1"/>
  <c r="J12" i="1"/>
  <c r="I12" i="1"/>
  <c r="H12" i="1"/>
  <c r="G12" i="1"/>
  <c r="F12" i="1"/>
  <c r="E12" i="1"/>
  <c r="D12" i="1"/>
  <c r="K12" i="1" s="1"/>
  <c r="C12" i="1"/>
  <c r="B12" i="1"/>
  <c r="J11" i="1"/>
  <c r="I11" i="1"/>
  <c r="H11" i="1"/>
  <c r="K11" i="1" s="1"/>
  <c r="G11" i="1"/>
  <c r="F11" i="1"/>
  <c r="E11" i="1"/>
  <c r="D11" i="1"/>
  <c r="C11" i="1"/>
  <c r="B11" i="1"/>
  <c r="J10" i="1"/>
  <c r="J49" i="1" s="1"/>
  <c r="D58" i="1" s="1"/>
  <c r="I10" i="1"/>
  <c r="I49" i="1" s="1"/>
  <c r="D57" i="1" s="1"/>
  <c r="H10" i="1"/>
  <c r="H49" i="1" s="1"/>
  <c r="D56" i="1" s="1"/>
  <c r="G10" i="1"/>
  <c r="G49" i="1" s="1"/>
  <c r="D55" i="1" s="1"/>
  <c r="F10" i="1"/>
  <c r="F49" i="1" s="1"/>
  <c r="D54" i="1" s="1"/>
  <c r="E10" i="1"/>
  <c r="E49" i="1" s="1"/>
  <c r="D53" i="1" s="1"/>
  <c r="D10" i="1"/>
  <c r="K10" i="1" s="1"/>
  <c r="C10" i="1"/>
  <c r="B10" i="1"/>
  <c r="J9" i="1"/>
  <c r="I9" i="1"/>
  <c r="H9" i="1"/>
  <c r="G9" i="1"/>
  <c r="F9" i="1"/>
  <c r="E9" i="1"/>
  <c r="D9" i="1"/>
  <c r="K9" i="1" s="1"/>
  <c r="C9" i="1"/>
  <c r="B9" i="1"/>
  <c r="J8" i="1"/>
  <c r="I8" i="1"/>
  <c r="H8" i="1"/>
  <c r="G8" i="1"/>
  <c r="F8" i="1"/>
  <c r="E8" i="1"/>
  <c r="D8" i="1"/>
  <c r="G5" i="1"/>
  <c r="C5" i="1"/>
  <c r="C4" i="1"/>
  <c r="C3" i="1"/>
  <c r="K49" i="1" l="1"/>
  <c r="D49" i="1"/>
  <c r="D52" i="1" s="1"/>
</calcChain>
</file>

<file path=xl/sharedStrings.xml><?xml version="1.0" encoding="utf-8"?>
<sst xmlns="http://schemas.openxmlformats.org/spreadsheetml/2006/main" count="12" uniqueCount="11">
  <si>
    <t>INSTITUCIÓN:</t>
  </si>
  <si>
    <t>DOCENTE:</t>
  </si>
  <si>
    <t>GRADO:</t>
  </si>
  <si>
    <t>PARALELO:</t>
  </si>
  <si>
    <t>2DO TRIMESTRE</t>
  </si>
  <si>
    <t>Nº</t>
  </si>
  <si>
    <t>CÉDULA</t>
  </si>
  <si>
    <t>APELLIDOS/NOMBRES</t>
  </si>
  <si>
    <t>PROMEDIO TRIMESTRAL</t>
  </si>
  <si>
    <t>SEGUNDO TRIMESTRE</t>
  </si>
  <si>
    <t>CALF.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</si>
</sst>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6"/>
      <color rgb="FF00003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0"/>
      <name val="Bahnschrift SemiCondensed"/>
      <family val="2"/>
    </font>
    <font>
      <sz val="8"/>
      <color theme="0"/>
      <name val="Bahnschrift SemiCondensed"/>
      <family val="2"/>
    </font>
    <font>
      <sz val="9"/>
      <color rgb="FFFFFF00"/>
      <name val="Bahnschrift SemiCondensed"/>
      <family val="2"/>
    </font>
    <font>
      <sz val="8"/>
      <color theme="1"/>
      <name val="Times New Roman"/>
      <family val="1"/>
    </font>
    <font>
      <sz val="8"/>
      <name val="Times New Roman"/>
      <family val="1"/>
    </font>
    <font>
      <sz val="9"/>
      <name val="Calibri"/>
      <family val="2"/>
      <scheme val="minor"/>
    </font>
    <font>
      <b/>
      <sz val="8"/>
      <color theme="1"/>
      <name val="Times New Roman"/>
      <family val="1"/>
    </font>
    <font>
      <b/>
      <sz val="11"/>
      <color rgb="FF002060"/>
      <name val="Calibri"/>
      <family val="2"/>
      <scheme val="minor"/>
    </font>
    <font>
      <b/>
      <sz val="10"/>
      <color rgb="FF002060"/>
      <name val="Calibri"/>
      <family val="2"/>
      <scheme val="minor"/>
    </font>
    <font>
      <sz val="9"/>
      <color theme="1"/>
      <name val="Maiandra GD"/>
      <family val="2"/>
    </font>
    <font>
      <b/>
      <sz val="9"/>
      <color theme="1"/>
      <name val="Maiandra GD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9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550"/>
        <bgColor indexed="64"/>
      </patternFill>
    </fill>
    <fill>
      <patternFill patternType="solid">
        <fgColor rgb="FF632B8D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E0060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E8E00"/>
        <bgColor indexed="64"/>
      </patternFill>
    </fill>
    <fill>
      <patternFill patternType="solid">
        <fgColor rgb="FF303B4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double">
        <color theme="0" tint="-0.34998626667073579"/>
      </bottom>
      <diagonal/>
    </border>
    <border>
      <left style="thin">
        <color rgb="FF002060"/>
      </left>
      <right style="thin">
        <color theme="4" tint="-0.249977111117893"/>
      </right>
      <top/>
      <bottom/>
      <diagonal/>
    </border>
    <border>
      <left/>
      <right style="thin">
        <color theme="4" tint="-0.249977111117893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rgb="FF002B2A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6" fillId="4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/>
    <xf numFmtId="0" fontId="9" fillId="5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1" fillId="7" borderId="5" xfId="0" applyFont="1" applyFill="1" applyBorder="1" applyAlignment="1" applyProtection="1">
      <alignment horizontal="center" vertical="center" textRotation="90" wrapText="1"/>
      <protection locked="0"/>
    </xf>
    <xf numFmtId="9" fontId="12" fillId="8" borderId="5" xfId="0" applyNumberFormat="1" applyFont="1" applyFill="1" applyBorder="1" applyAlignment="1">
      <alignment horizontal="center" vertical="center" textRotation="90" wrapText="1"/>
    </xf>
    <xf numFmtId="0" fontId="11" fillId="9" borderId="5" xfId="0" applyFont="1" applyFill="1" applyBorder="1" applyAlignment="1" applyProtection="1">
      <alignment horizontal="center" vertical="center" textRotation="90" wrapText="1"/>
      <protection locked="0"/>
    </xf>
    <xf numFmtId="9" fontId="12" fillId="10" borderId="5" xfId="0" applyNumberFormat="1" applyFont="1" applyFill="1" applyBorder="1" applyAlignment="1">
      <alignment horizontal="center" vertical="center" textRotation="90" wrapText="1"/>
    </xf>
    <xf numFmtId="0" fontId="11" fillId="11" borderId="5" xfId="0" applyFont="1" applyFill="1" applyBorder="1" applyAlignment="1" applyProtection="1">
      <alignment horizontal="center" vertical="center" textRotation="90" wrapText="1"/>
      <protection locked="0"/>
    </xf>
    <xf numFmtId="9" fontId="12" fillId="12" borderId="5" xfId="0" applyNumberFormat="1" applyFont="1" applyFill="1" applyBorder="1" applyAlignment="1">
      <alignment horizontal="center" vertical="center" textRotation="90" wrapText="1"/>
    </xf>
    <xf numFmtId="0" fontId="11" fillId="13" borderId="5" xfId="0" applyFont="1" applyFill="1" applyBorder="1" applyAlignment="1" applyProtection="1">
      <alignment horizontal="center" vertical="center" textRotation="90" wrapText="1"/>
      <protection locked="0"/>
    </xf>
    <xf numFmtId="0" fontId="13" fillId="14" borderId="5" xfId="0" applyFont="1" applyFill="1" applyBorder="1" applyAlignment="1" applyProtection="1">
      <alignment horizontal="center" vertical="center" textRotation="90" wrapText="1"/>
      <protection locked="0"/>
    </xf>
    <xf numFmtId="0" fontId="7" fillId="5" borderId="6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left"/>
    </xf>
    <xf numFmtId="0" fontId="4" fillId="2" borderId="6" xfId="0" applyFont="1" applyFill="1" applyBorder="1"/>
    <xf numFmtId="2" fontId="15" fillId="2" borderId="6" xfId="0" applyNumberFormat="1" applyFont="1" applyFill="1" applyBorder="1" applyAlignment="1">
      <alignment horizontal="center" vertical="center"/>
    </xf>
    <xf numFmtId="2" fontId="15" fillId="5" borderId="6" xfId="0" applyNumberFormat="1" applyFont="1" applyFill="1" applyBorder="1" applyAlignment="1">
      <alignment horizontal="center" vertical="center"/>
    </xf>
    <xf numFmtId="2" fontId="16" fillId="15" borderId="7" xfId="0" applyNumberFormat="1" applyFont="1" applyFill="1" applyBorder="1" applyAlignment="1">
      <alignment horizontal="center" vertical="center" wrapText="1"/>
    </xf>
    <xf numFmtId="0" fontId="4" fillId="0" borderId="0" xfId="0" applyFont="1"/>
    <xf numFmtId="2" fontId="17" fillId="15" borderId="6" xfId="0" applyNumberFormat="1" applyFont="1" applyFill="1" applyBorder="1" applyAlignment="1">
      <alignment horizontal="center" vertical="center"/>
    </xf>
    <xf numFmtId="2" fontId="17" fillId="5" borderId="6" xfId="0" applyNumberFormat="1" applyFont="1" applyFill="1" applyBorder="1" applyAlignment="1">
      <alignment horizontal="center" vertical="center"/>
    </xf>
    <xf numFmtId="0" fontId="18" fillId="16" borderId="0" xfId="0" applyFont="1" applyFill="1" applyAlignment="1" applyProtection="1">
      <alignment horizontal="center" vertical="center"/>
      <protection hidden="1"/>
    </xf>
    <xf numFmtId="0" fontId="19" fillId="2" borderId="8" xfId="0" applyFont="1" applyFill="1" applyBorder="1" applyAlignment="1" applyProtection="1">
      <alignment horizontal="center" vertical="center"/>
      <protection hidden="1"/>
    </xf>
    <xf numFmtId="9" fontId="4" fillId="5" borderId="9" xfId="0" applyNumberFormat="1" applyFont="1" applyFill="1" applyBorder="1" applyProtection="1">
      <protection hidden="1"/>
    </xf>
    <xf numFmtId="2" fontId="14" fillId="0" borderId="8" xfId="0" applyNumberFormat="1" applyFont="1" applyBorder="1" applyProtection="1">
      <protection hidden="1"/>
    </xf>
    <xf numFmtId="9" fontId="4" fillId="5" borderId="9" xfId="0" applyNumberFormat="1" applyFont="1" applyFill="1" applyBorder="1" applyAlignment="1" applyProtection="1">
      <alignment horizontal="left"/>
      <protection hidden="1"/>
    </xf>
    <xf numFmtId="0" fontId="0" fillId="0" borderId="0" xfId="0" applyAlignment="1">
      <alignment horizont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/>
    <xf numFmtId="0" fontId="20" fillId="0" borderId="11" xfId="0" applyFont="1" applyBorder="1" applyAlignment="1">
      <alignment horizontal="center"/>
    </xf>
    <xf numFmtId="0" fontId="21" fillId="0" borderId="0" xfId="0" applyFont="1" applyAlignment="1">
      <alignment horizontal="center" vertical="top"/>
    </xf>
    <xf numFmtId="0" fontId="21" fillId="0" borderId="0" xfId="0" applyFont="1" applyAlignment="1">
      <alignment horizontal="center"/>
    </xf>
    <xf numFmtId="0" fontId="2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x-none" sz="900">
                <a:solidFill>
                  <a:sysClr val="windowText" lastClr="000000"/>
                </a:solidFill>
              </a:rPr>
              <a:t>RENDIMIENTO</a:t>
            </a:r>
            <a:r>
              <a:rPr lang="x-none" sz="900" baseline="0">
                <a:solidFill>
                  <a:sysClr val="windowText" lastClr="000000"/>
                </a:solidFill>
              </a:rPr>
              <a:t> ASIGNATURAS 2DO TRIMESTRE</a:t>
            </a:r>
            <a:endParaRPr lang="x-none" sz="9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x-non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35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'CONSOLIDADO 2DO TRIM. '!$C$52:$C$58</c:f>
              <c:strCache>
                <c:ptCount val="7"/>
                <c:pt idx="0">
                  <c:v>LENGUA Y LITERATURA</c:v>
                </c:pt>
                <c:pt idx="1">
                  <c:v>MATEMÁTICA</c:v>
                </c:pt>
                <c:pt idx="2">
                  <c:v>ESTUDIOS SOCIALES</c:v>
                </c:pt>
                <c:pt idx="3">
                  <c:v>CIENCIAS NATURALES</c:v>
                </c:pt>
                <c:pt idx="4">
                  <c:v>INGLÉS</c:v>
                </c:pt>
                <c:pt idx="5">
                  <c:v>EDUCACIÓN FÍSICA</c:v>
                </c:pt>
                <c:pt idx="6">
                  <c:v>EDUCACIÓN CULTURAL Y ARÍSTICA</c:v>
                </c:pt>
              </c:strCache>
            </c:strRef>
          </c:cat>
          <c:val>
            <c:numRef>
              <c:f>'CONSOLIDADO 2DO TRIM. '!$D$52:$D$58</c:f>
              <c:numCache>
                <c:formatCode>0.00</c:formatCode>
                <c:ptCount val="7"/>
                <c:pt idx="0">
                  <c:v>9.41</c:v>
                </c:pt>
                <c:pt idx="1">
                  <c:v>8.6</c:v>
                </c:pt>
                <c:pt idx="2">
                  <c:v>9.73</c:v>
                </c:pt>
                <c:pt idx="3">
                  <c:v>9.43</c:v>
                </c:pt>
                <c:pt idx="4">
                  <c:v>9.52</c:v>
                </c:pt>
                <c:pt idx="5">
                  <c:v>9.92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DB-4FFB-84F4-BC871E4C6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654888"/>
        <c:axId val="178655280"/>
      </c:barChart>
      <c:catAx>
        <c:axId val="178654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655280"/>
        <c:crosses val="autoZero"/>
        <c:auto val="1"/>
        <c:lblAlgn val="ctr"/>
        <c:lblOffset val="100"/>
        <c:noMultiLvlLbl val="0"/>
      </c:catAx>
      <c:valAx>
        <c:axId val="17865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6548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MEN&#218;!A1"/><Relationship Id="rId5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28574</xdr:rowOff>
    </xdr:from>
    <xdr:to>
      <xdr:col>1</xdr:col>
      <xdr:colOff>134660</xdr:colOff>
      <xdr:row>6</xdr:row>
      <xdr:rowOff>243947</xdr:rowOff>
    </xdr:to>
    <xdr:pic>
      <xdr:nvPicPr>
        <xdr:cNvPr id="2" name="Gráfico 1" descr="Fi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B2CC45-CAFA-42D8-97D6-C491B6F45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 flipH="1">
          <a:off x="0" y="1600199"/>
          <a:ext cx="344210" cy="27252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3</xdr:col>
      <xdr:colOff>1822</xdr:colOff>
      <xdr:row>0</xdr:row>
      <xdr:rowOff>954630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307E2DCA-F509-44A8-90C8-00D8E85CB75D}"/>
            </a:ext>
          </a:extLst>
        </xdr:cNvPr>
        <xdr:cNvGrpSpPr/>
      </xdr:nvGrpSpPr>
      <xdr:grpSpPr>
        <a:xfrm>
          <a:off x="0" y="0"/>
          <a:ext cx="3970572" cy="954630"/>
          <a:chOff x="0" y="0"/>
          <a:chExt cx="3430822" cy="954630"/>
        </a:xfrm>
      </xdr:grpSpPr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2A732404-BEDE-800D-2314-E7F5CAD5D5D0}"/>
              </a:ext>
            </a:extLst>
          </xdr:cNvPr>
          <xdr:cNvGrpSpPr/>
        </xdr:nvGrpSpPr>
        <xdr:grpSpPr>
          <a:xfrm>
            <a:off x="0" y="0"/>
            <a:ext cx="3430822" cy="954630"/>
            <a:chOff x="0" y="0"/>
            <a:chExt cx="3494269" cy="553898"/>
          </a:xfrm>
        </xdr:grpSpPr>
        <xdr:sp macro="" textlink="">
          <xdr:nvSpPr>
            <xdr:cNvPr id="6" name="Rectángulo 4">
              <a:extLst>
                <a:ext uri="{FF2B5EF4-FFF2-40B4-BE49-F238E27FC236}">
                  <a16:creationId xmlns:a16="http://schemas.microsoft.com/office/drawing/2014/main" id="{63805C62-1CC8-B1C7-1094-DC99F29B608F}"/>
                </a:ext>
              </a:extLst>
            </xdr:cNvPr>
            <xdr:cNvSpPr/>
          </xdr:nvSpPr>
          <xdr:spPr>
            <a:xfrm>
              <a:off x="0" y="0"/>
              <a:ext cx="3494269" cy="553898"/>
            </a:xfrm>
            <a:custGeom>
              <a:avLst/>
              <a:gdLst>
                <a:gd name="connsiteX0" fmla="*/ 0 w 5950226"/>
                <a:gd name="connsiteY0" fmla="*/ 0 h 1099930"/>
                <a:gd name="connsiteX1" fmla="*/ 5950226 w 5950226"/>
                <a:gd name="connsiteY1" fmla="*/ 0 h 1099930"/>
                <a:gd name="connsiteX2" fmla="*/ 5950226 w 5950226"/>
                <a:gd name="connsiteY2" fmla="*/ 1099930 h 1099930"/>
                <a:gd name="connsiteX3" fmla="*/ 0 w 5950226"/>
                <a:gd name="connsiteY3" fmla="*/ 1099930 h 1099930"/>
                <a:gd name="connsiteX4" fmla="*/ 0 w 5950226"/>
                <a:gd name="connsiteY4" fmla="*/ 0 h 1099930"/>
                <a:gd name="connsiteX0" fmla="*/ 0 w 7513983"/>
                <a:gd name="connsiteY0" fmla="*/ 0 h 1099930"/>
                <a:gd name="connsiteX1" fmla="*/ 7513983 w 7513983"/>
                <a:gd name="connsiteY1" fmla="*/ 0 h 1099930"/>
                <a:gd name="connsiteX2" fmla="*/ 5950226 w 7513983"/>
                <a:gd name="connsiteY2" fmla="*/ 1099930 h 1099930"/>
                <a:gd name="connsiteX3" fmla="*/ 0 w 7513983"/>
                <a:gd name="connsiteY3" fmla="*/ 1099930 h 1099930"/>
                <a:gd name="connsiteX4" fmla="*/ 0 w 7513983"/>
                <a:gd name="connsiteY4" fmla="*/ 0 h 1099930"/>
                <a:gd name="connsiteX0" fmla="*/ 0 w 7500731"/>
                <a:gd name="connsiteY0" fmla="*/ 0 h 1099930"/>
                <a:gd name="connsiteX1" fmla="*/ 7500731 w 7500731"/>
                <a:gd name="connsiteY1" fmla="*/ 0 h 1099930"/>
                <a:gd name="connsiteX2" fmla="*/ 5950226 w 7500731"/>
                <a:gd name="connsiteY2" fmla="*/ 1099930 h 1099930"/>
                <a:gd name="connsiteX3" fmla="*/ 0 w 7500731"/>
                <a:gd name="connsiteY3" fmla="*/ 1099930 h 1099930"/>
                <a:gd name="connsiteX4" fmla="*/ 0 w 7500731"/>
                <a:gd name="connsiteY4" fmla="*/ 0 h 109993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500731" h="1099930">
                  <a:moveTo>
                    <a:pt x="0" y="0"/>
                  </a:moveTo>
                  <a:lnTo>
                    <a:pt x="7500731" y="0"/>
                  </a:lnTo>
                  <a:lnTo>
                    <a:pt x="5950226" y="1099930"/>
                  </a:lnTo>
                  <a:lnTo>
                    <a:pt x="0" y="1099930"/>
                  </a:lnTo>
                  <a:lnTo>
                    <a:pt x="0" y="0"/>
                  </a:lnTo>
                  <a:close/>
                </a:path>
              </a:pathLst>
            </a:custGeom>
            <a:solidFill>
              <a:srgbClr val="000036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s-EC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EC"/>
            </a:p>
          </xdr:txBody>
        </xdr:sp>
        <xdr:sp macro="" textlink="">
          <xdr:nvSpPr>
            <xdr:cNvPr id="7" name="Rectángulo 4">
              <a:extLst>
                <a:ext uri="{FF2B5EF4-FFF2-40B4-BE49-F238E27FC236}">
                  <a16:creationId xmlns:a16="http://schemas.microsoft.com/office/drawing/2014/main" id="{E29D4107-89E4-0061-E551-B20CB6B6D358}"/>
                </a:ext>
              </a:extLst>
            </xdr:cNvPr>
            <xdr:cNvSpPr/>
          </xdr:nvSpPr>
          <xdr:spPr>
            <a:xfrm>
              <a:off x="26041" y="438358"/>
              <a:ext cx="2870671" cy="49480"/>
            </a:xfrm>
            <a:custGeom>
              <a:avLst/>
              <a:gdLst>
                <a:gd name="connsiteX0" fmla="*/ 0 w 5950226"/>
                <a:gd name="connsiteY0" fmla="*/ 0 h 1099930"/>
                <a:gd name="connsiteX1" fmla="*/ 5950226 w 5950226"/>
                <a:gd name="connsiteY1" fmla="*/ 0 h 1099930"/>
                <a:gd name="connsiteX2" fmla="*/ 5950226 w 5950226"/>
                <a:gd name="connsiteY2" fmla="*/ 1099930 h 1099930"/>
                <a:gd name="connsiteX3" fmla="*/ 0 w 5950226"/>
                <a:gd name="connsiteY3" fmla="*/ 1099930 h 1099930"/>
                <a:gd name="connsiteX4" fmla="*/ 0 w 5950226"/>
                <a:gd name="connsiteY4" fmla="*/ 0 h 1099930"/>
                <a:gd name="connsiteX0" fmla="*/ 0 w 7513983"/>
                <a:gd name="connsiteY0" fmla="*/ 0 h 1099930"/>
                <a:gd name="connsiteX1" fmla="*/ 7513983 w 7513983"/>
                <a:gd name="connsiteY1" fmla="*/ 0 h 1099930"/>
                <a:gd name="connsiteX2" fmla="*/ 5950226 w 7513983"/>
                <a:gd name="connsiteY2" fmla="*/ 1099930 h 1099930"/>
                <a:gd name="connsiteX3" fmla="*/ 0 w 7513983"/>
                <a:gd name="connsiteY3" fmla="*/ 1099930 h 1099930"/>
                <a:gd name="connsiteX4" fmla="*/ 0 w 7513983"/>
                <a:gd name="connsiteY4" fmla="*/ 0 h 1099930"/>
                <a:gd name="connsiteX0" fmla="*/ 0 w 7500731"/>
                <a:gd name="connsiteY0" fmla="*/ 0 h 1099930"/>
                <a:gd name="connsiteX1" fmla="*/ 7500731 w 7500731"/>
                <a:gd name="connsiteY1" fmla="*/ 0 h 1099930"/>
                <a:gd name="connsiteX2" fmla="*/ 5950226 w 7500731"/>
                <a:gd name="connsiteY2" fmla="*/ 1099930 h 1099930"/>
                <a:gd name="connsiteX3" fmla="*/ 0 w 7500731"/>
                <a:gd name="connsiteY3" fmla="*/ 1099930 h 1099930"/>
                <a:gd name="connsiteX4" fmla="*/ 0 w 7500731"/>
                <a:gd name="connsiteY4" fmla="*/ 0 h 1099930"/>
                <a:gd name="connsiteX0" fmla="*/ 0 w 6157018"/>
                <a:gd name="connsiteY0" fmla="*/ 77981 h 1177911"/>
                <a:gd name="connsiteX1" fmla="*/ 6157018 w 6157018"/>
                <a:gd name="connsiteY1" fmla="*/ 0 h 1177911"/>
                <a:gd name="connsiteX2" fmla="*/ 5950226 w 6157018"/>
                <a:gd name="connsiteY2" fmla="*/ 1177911 h 1177911"/>
                <a:gd name="connsiteX3" fmla="*/ 0 w 6157018"/>
                <a:gd name="connsiteY3" fmla="*/ 1177911 h 1177911"/>
                <a:gd name="connsiteX4" fmla="*/ 0 w 6157018"/>
                <a:gd name="connsiteY4" fmla="*/ 77981 h 1177911"/>
                <a:gd name="connsiteX0" fmla="*/ 0 w 6197129"/>
                <a:gd name="connsiteY0" fmla="*/ 0 h 1099930"/>
                <a:gd name="connsiteX1" fmla="*/ 6197129 w 6197129"/>
                <a:gd name="connsiteY1" fmla="*/ 0 h 1099930"/>
                <a:gd name="connsiteX2" fmla="*/ 5950226 w 6197129"/>
                <a:gd name="connsiteY2" fmla="*/ 1099930 h 1099930"/>
                <a:gd name="connsiteX3" fmla="*/ 0 w 6197129"/>
                <a:gd name="connsiteY3" fmla="*/ 1099930 h 1099930"/>
                <a:gd name="connsiteX4" fmla="*/ 0 w 6197129"/>
                <a:gd name="connsiteY4" fmla="*/ 0 h 1099930"/>
                <a:gd name="connsiteX0" fmla="*/ 0 w 6197129"/>
                <a:gd name="connsiteY0" fmla="*/ 0 h 1099930"/>
                <a:gd name="connsiteX1" fmla="*/ 6197129 w 6197129"/>
                <a:gd name="connsiteY1" fmla="*/ 0 h 1099930"/>
                <a:gd name="connsiteX2" fmla="*/ 6017405 w 6197129"/>
                <a:gd name="connsiteY2" fmla="*/ 1099930 h 1099930"/>
                <a:gd name="connsiteX3" fmla="*/ 0 w 6197129"/>
                <a:gd name="connsiteY3" fmla="*/ 1099930 h 1099930"/>
                <a:gd name="connsiteX4" fmla="*/ 0 w 6197129"/>
                <a:gd name="connsiteY4" fmla="*/ 0 h 109993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197129" h="1099930">
                  <a:moveTo>
                    <a:pt x="0" y="0"/>
                  </a:moveTo>
                  <a:lnTo>
                    <a:pt x="6197129" y="0"/>
                  </a:lnTo>
                  <a:lnTo>
                    <a:pt x="6017405" y="1099930"/>
                  </a:lnTo>
                  <a:lnTo>
                    <a:pt x="0" y="1099930"/>
                  </a:lnTo>
                  <a:lnTo>
                    <a:pt x="0" y="0"/>
                  </a:lnTo>
                  <a:close/>
                </a:path>
              </a:pathLst>
            </a:custGeom>
            <a:solidFill>
              <a:srgbClr val="0070C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s-EC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s-EC"/>
            </a:p>
          </xdr:txBody>
        </xdr:sp>
      </xdr:grpSp>
      <xdr:pic>
        <xdr:nvPicPr>
          <xdr:cNvPr id="5" name="Imagen 4">
            <a:extLst>
              <a:ext uri="{FF2B5EF4-FFF2-40B4-BE49-F238E27FC236}">
                <a16:creationId xmlns:a16="http://schemas.microsoft.com/office/drawing/2014/main" id="{1D40D99C-C352-1012-23EB-6E2F106A75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0" y="0"/>
            <a:ext cx="2731245" cy="890093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323850</xdr:colOff>
      <xdr:row>50</xdr:row>
      <xdr:rowOff>4761</xdr:rowOff>
    </xdr:from>
    <xdr:to>
      <xdr:col>11</xdr:col>
      <xdr:colOff>47625</xdr:colOff>
      <xdr:row>58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57FA6AB-135B-4A6D-A43B-570944105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esktop\2DO\NOTAS\SABANA%20II%20TRIMESTRE%20-%20UECP.xlsx" TargetMode="External"/><Relationship Id="rId1" Type="http://schemas.openxmlformats.org/officeDocument/2006/relationships/externalLinkPath" Target="SABANA%20II%20TRIMESTRE%20-%20UEC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Ú"/>
      <sheetName val="LISTA CAS"/>
      <sheetName val="COMPORTAMIENTO"/>
      <sheetName val="RECOMENDACIONES"/>
      <sheetName val="1ER TRIM."/>
      <sheetName val="CALIF. 1ER TRIM."/>
      <sheetName val="CONSOLIDADO 1ER TRIM."/>
      <sheetName val="PROM. 1ER TRIM."/>
      <sheetName val="REPORTE 1ER TRIM."/>
      <sheetName val="2DO TRIM."/>
      <sheetName val="CALIF. 2DO TRIM. "/>
      <sheetName val="CONSOLIDADO 2DO TRIM. "/>
      <sheetName val="PROM. 2DO TRIM."/>
      <sheetName val="REPORTE 2DO TRIM. "/>
      <sheetName val="3ER TRIM. "/>
      <sheetName val="CALIF. 3ER TRIM."/>
      <sheetName val="CONSOLIDADO 3ER TRIM. "/>
      <sheetName val="PROM. 3ER TRIM."/>
      <sheetName val="REPORTE 3ER TRIM. "/>
      <sheetName val="CALF. TRIMESTRALES"/>
      <sheetName val="PROM. GEN"/>
      <sheetName val="CONSOLIDADO ANUAL"/>
      <sheetName val="REPORTE ANUAL."/>
      <sheetName val="Hoja1"/>
    </sheetNames>
    <sheetDataSet>
      <sheetData sheetId="0">
        <row r="2">
          <cell r="A2" t="str">
            <v>UNIDAD EDUCATIVA DEL MILENIO 
CIUDAD DE PEDERNALES</v>
          </cell>
        </row>
        <row r="7">
          <cell r="A7" t="str">
            <v>DOCENTE TUTORA</v>
          </cell>
          <cell r="B7" t="str">
            <v>MGTR. YUGCHA BRAVO SHIRLEY</v>
          </cell>
          <cell r="G7" t="str">
            <v>2do</v>
          </cell>
        </row>
        <row r="8">
          <cell r="G8" t="str">
            <v>A</v>
          </cell>
        </row>
        <row r="23">
          <cell r="C23" t="str">
            <v>RECTOR</v>
          </cell>
          <cell r="F23" t="str">
            <v>MGTR. EDUARDO ZAMBRANO ESMERALDAS</v>
          </cell>
        </row>
      </sheetData>
      <sheetData sheetId="1">
        <row r="8">
          <cell r="B8">
            <v>0</v>
          </cell>
          <cell r="C8" t="str">
            <v>ALAVA INTRIAGO MADELINE JULIETTE</v>
          </cell>
        </row>
        <row r="9">
          <cell r="C9" t="str">
            <v>ALCIVAR MUÑOZ ORIANA VALESKA</v>
          </cell>
        </row>
        <row r="10">
          <cell r="C10" t="str">
            <v>ARIAS MUÑOZ FERNANDO ELIAN</v>
          </cell>
        </row>
        <row r="11">
          <cell r="C11" t="str">
            <v>BARRE MAGALLAN BASTIAN OMAR</v>
          </cell>
        </row>
        <row r="12">
          <cell r="C12" t="str">
            <v>BASURTO MOREIRA VICTORIA CHARLOTTE</v>
          </cell>
        </row>
        <row r="13">
          <cell r="C13" t="str">
            <v>BONE CUERO JOSAFAT ISAAC</v>
          </cell>
        </row>
        <row r="14">
          <cell r="C14" t="str">
            <v>CAGUA ROMAN DARA ABIGAIL</v>
          </cell>
        </row>
        <row r="15">
          <cell r="C15" t="str">
            <v>CALDERON CAÑARTE KEVIN DANIEL</v>
          </cell>
        </row>
        <row r="16">
          <cell r="C16" t="str">
            <v>CALDERON VILELA BRITANNY AILIN</v>
          </cell>
        </row>
        <row r="17">
          <cell r="C17" t="str">
            <v>CAÑOLA CHILA MARIA FERNANDA</v>
          </cell>
        </row>
        <row r="18">
          <cell r="C18" t="str">
            <v>CRIOLLO JAMA HEYTHAN KEANU</v>
          </cell>
        </row>
        <row r="19">
          <cell r="C19" t="str">
            <v>FARIAS QUIÑONEZ SCARLETH JULIETH</v>
          </cell>
        </row>
        <row r="20">
          <cell r="C20" t="str">
            <v>GARCIA JIMENEZ DIEGO NICOLAS</v>
          </cell>
        </row>
        <row r="21">
          <cell r="C21" t="str">
            <v>GUERRERO NAPA ACENE SAMANTA</v>
          </cell>
        </row>
        <row r="22">
          <cell r="C22" t="str">
            <v>GUILLEN RODRIGUEZ KIMBERLY DOMENICA</v>
          </cell>
        </row>
        <row r="23">
          <cell r="C23" t="str">
            <v>IBARRA PICO JEAN CARLOS</v>
          </cell>
        </row>
        <row r="24">
          <cell r="C24" t="str">
            <v>JAMA IVARRA GIANNA LIDICETH</v>
          </cell>
        </row>
        <row r="25">
          <cell r="C25" t="str">
            <v>JAMA MOREIRA ASHLY DANIELA</v>
          </cell>
        </row>
        <row r="26">
          <cell r="C26" t="str">
            <v>LOOR MOREIRA ISAIAS EZEQUIEL</v>
          </cell>
        </row>
        <row r="27">
          <cell r="C27" t="str">
            <v>LOPEZ MARCILLO GLADYS VALENTINA</v>
          </cell>
        </row>
        <row r="28">
          <cell r="C28" t="str">
            <v>LUCAS FARIAS MADELIN ELIZABETH</v>
          </cell>
        </row>
        <row r="29">
          <cell r="C29" t="str">
            <v>MACIAS MERO FERNANDO EMANUEL</v>
          </cell>
        </row>
        <row r="30">
          <cell r="C30" t="str">
            <v>MENDOZA BRAVO ALISSE VALENTINA</v>
          </cell>
        </row>
        <row r="31">
          <cell r="C31" t="str">
            <v>MORALES CAICEDO ANGIE LISSETH</v>
          </cell>
        </row>
        <row r="32">
          <cell r="C32" t="str">
            <v>MORENO MOREIRA JOSE JAHER</v>
          </cell>
        </row>
        <row r="33">
          <cell r="C33" t="str">
            <v>MURILLO CHILA ZAIDA CHARLOTTE</v>
          </cell>
        </row>
        <row r="34">
          <cell r="C34" t="str">
            <v>ORTIZ CAGUA DANNY DAMIAN</v>
          </cell>
        </row>
        <row r="35">
          <cell r="C35" t="str">
            <v>ORTIZ ZAMBRANO ANA DALILA</v>
          </cell>
        </row>
        <row r="36">
          <cell r="C36" t="str">
            <v>QUIROZ ORTIZ ADRIANA LUCIA</v>
          </cell>
        </row>
        <row r="37">
          <cell r="C37" t="str">
            <v>RODRIGUEZ ARRIAGA KEYLER JOSUE</v>
          </cell>
        </row>
        <row r="38">
          <cell r="C38" t="str">
            <v>RODRIGUEZ GUILLEN CAMILA NOHELIA</v>
          </cell>
        </row>
        <row r="39">
          <cell r="C39" t="str">
            <v>ROSADO DELGADO ASHLEY ANTONELLA</v>
          </cell>
        </row>
        <row r="40">
          <cell r="C40" t="str">
            <v>SABANDO IBARRA JEREMIAS KALET</v>
          </cell>
        </row>
        <row r="41">
          <cell r="C41" t="str">
            <v>SOLORZANO MELENDREZ JOSTIN RAFAEL</v>
          </cell>
        </row>
        <row r="42">
          <cell r="C42" t="str">
            <v>SUAREZ REINA RAUL ALEJANDRO</v>
          </cell>
        </row>
        <row r="43">
          <cell r="C43" t="str">
            <v>VERA FARIAS JACKSON ARIEL</v>
          </cell>
        </row>
        <row r="44">
          <cell r="C44" t="str">
            <v>ZAMBRANO CAGUA EVAN NELSIÑO</v>
          </cell>
        </row>
        <row r="45">
          <cell r="C45" t="str">
            <v>ZAMBRANO CHILA NATHALY VIVIANA</v>
          </cell>
        </row>
        <row r="46">
          <cell r="C46" t="str">
            <v>ZAMBRANO ZAMBRANO ELIAM EZEQUIEL</v>
          </cell>
        </row>
        <row r="47">
          <cell r="C47" t="str">
            <v>COVEÑA SANTANA THIAGO GAEL</v>
          </cell>
        </row>
      </sheetData>
      <sheetData sheetId="2"/>
      <sheetData sheetId="3"/>
      <sheetData sheetId="4"/>
      <sheetData sheetId="5">
        <row r="7">
          <cell r="D7" t="str">
            <v>LENGUA Y LITERATURA</v>
          </cell>
          <cell r="I7" t="str">
            <v>MATEMÁTICA</v>
          </cell>
          <cell r="N7" t="str">
            <v>ESTUDIOS SOCIALES</v>
          </cell>
          <cell r="S7" t="str">
            <v>CIENCIAS NATURALES</v>
          </cell>
          <cell r="X7" t="str">
            <v>INGLÉS</v>
          </cell>
          <cell r="AC7" t="str">
            <v>EDUCACIÓN FÍSICA</v>
          </cell>
          <cell r="AE7" t="str">
            <v>EDUCACIÓN CULTURAL Y ARÍSTICA</v>
          </cell>
        </row>
      </sheetData>
      <sheetData sheetId="6"/>
      <sheetData sheetId="7"/>
      <sheetData sheetId="8"/>
      <sheetData sheetId="9"/>
      <sheetData sheetId="10">
        <row r="11">
          <cell r="H11">
            <v>9.89</v>
          </cell>
          <cell r="M11">
            <v>9.0399999999999991</v>
          </cell>
          <cell r="R11">
            <v>9.42</v>
          </cell>
          <cell r="W11">
            <v>10</v>
          </cell>
          <cell r="AB11">
            <v>10</v>
          </cell>
          <cell r="AC11">
            <v>10</v>
          </cell>
          <cell r="AE11">
            <v>10</v>
          </cell>
        </row>
        <row r="12">
          <cell r="H12">
            <v>9.7899999999999991</v>
          </cell>
          <cell r="M12">
            <v>9.5</v>
          </cell>
          <cell r="R12">
            <v>9.85</v>
          </cell>
          <cell r="W12">
            <v>10</v>
          </cell>
          <cell r="AB12">
            <v>10</v>
          </cell>
          <cell r="AC12">
            <v>10</v>
          </cell>
          <cell r="AE12">
            <v>10</v>
          </cell>
        </row>
        <row r="13">
          <cell r="H13">
            <v>9.57</v>
          </cell>
          <cell r="M13">
            <v>8.68</v>
          </cell>
          <cell r="R13">
            <v>9.6999999999999993</v>
          </cell>
          <cell r="W13">
            <v>9.6300000000000008</v>
          </cell>
          <cell r="AB13">
            <v>10</v>
          </cell>
          <cell r="AC13">
            <v>10</v>
          </cell>
          <cell r="AE13">
            <v>10</v>
          </cell>
        </row>
        <row r="14">
          <cell r="H14">
            <v>8.07</v>
          </cell>
          <cell r="M14">
            <v>7</v>
          </cell>
          <cell r="R14">
            <v>9.14</v>
          </cell>
          <cell r="W14">
            <v>8.92</v>
          </cell>
          <cell r="AB14">
            <v>8.7100000000000009</v>
          </cell>
          <cell r="AC14">
            <v>10</v>
          </cell>
          <cell r="AE14">
            <v>10</v>
          </cell>
        </row>
        <row r="15">
          <cell r="H15">
            <v>9.84</v>
          </cell>
          <cell r="M15">
            <v>9.61</v>
          </cell>
          <cell r="R15">
            <v>9.7200000000000006</v>
          </cell>
          <cell r="W15">
            <v>9.89</v>
          </cell>
          <cell r="AB15">
            <v>10</v>
          </cell>
          <cell r="AC15">
            <v>10</v>
          </cell>
          <cell r="AE15">
            <v>10</v>
          </cell>
        </row>
        <row r="16">
          <cell r="H16">
            <v>9.33</v>
          </cell>
          <cell r="M16">
            <v>9.0299999999999994</v>
          </cell>
          <cell r="R16">
            <v>9.4700000000000006</v>
          </cell>
          <cell r="W16">
            <v>9.24</v>
          </cell>
          <cell r="AB16">
            <v>9.3000000000000007</v>
          </cell>
          <cell r="AC16">
            <v>10</v>
          </cell>
          <cell r="AE16">
            <v>10</v>
          </cell>
        </row>
        <row r="17">
          <cell r="H17">
            <v>9.5399999999999991</v>
          </cell>
          <cell r="M17">
            <v>9.07</v>
          </cell>
          <cell r="R17">
            <v>9.56</v>
          </cell>
          <cell r="W17">
            <v>9.74</v>
          </cell>
          <cell r="AB17">
            <v>10</v>
          </cell>
          <cell r="AC17">
            <v>10</v>
          </cell>
          <cell r="AE17">
            <v>10</v>
          </cell>
        </row>
        <row r="18">
          <cell r="H18">
            <v>8.83</v>
          </cell>
          <cell r="M18">
            <v>7.32</v>
          </cell>
          <cell r="R18">
            <v>9.32</v>
          </cell>
          <cell r="W18">
            <v>9.32</v>
          </cell>
          <cell r="AB18">
            <v>10</v>
          </cell>
          <cell r="AC18">
            <v>10</v>
          </cell>
          <cell r="AE18">
            <v>10</v>
          </cell>
        </row>
        <row r="19">
          <cell r="H19">
            <v>9.02</v>
          </cell>
          <cell r="M19">
            <v>8.7899999999999991</v>
          </cell>
          <cell r="R19">
            <v>9.59</v>
          </cell>
          <cell r="W19">
            <v>10</v>
          </cell>
          <cell r="AB19">
            <v>10</v>
          </cell>
          <cell r="AC19">
            <v>10</v>
          </cell>
          <cell r="AE19">
            <v>10</v>
          </cell>
        </row>
        <row r="20">
          <cell r="H20">
            <v>9.23</v>
          </cell>
          <cell r="M20">
            <v>8.69</v>
          </cell>
          <cell r="R20">
            <v>9.49</v>
          </cell>
          <cell r="W20">
            <v>9.3699999999999992</v>
          </cell>
          <cell r="AB20">
            <v>10</v>
          </cell>
          <cell r="AC20">
            <v>10</v>
          </cell>
          <cell r="AE20">
            <v>10</v>
          </cell>
        </row>
        <row r="21">
          <cell r="H21">
            <v>9.44</v>
          </cell>
          <cell r="M21">
            <v>9.31</v>
          </cell>
          <cell r="R21">
            <v>9.5500000000000007</v>
          </cell>
          <cell r="W21">
            <v>9.8800000000000008</v>
          </cell>
          <cell r="AB21">
            <v>9.93</v>
          </cell>
          <cell r="AC21">
            <v>10</v>
          </cell>
          <cell r="AE21">
            <v>10</v>
          </cell>
        </row>
        <row r="22">
          <cell r="H22">
            <v>9.5399999999999991</v>
          </cell>
          <cell r="M22">
            <v>9.23</v>
          </cell>
          <cell r="R22">
            <v>9.3699999999999992</v>
          </cell>
          <cell r="W22">
            <v>9.68</v>
          </cell>
          <cell r="AB22">
            <v>9.76</v>
          </cell>
          <cell r="AC22">
            <v>10</v>
          </cell>
          <cell r="AE22">
            <v>10</v>
          </cell>
        </row>
        <row r="23">
          <cell r="H23">
            <v>9.75</v>
          </cell>
          <cell r="M23">
            <v>9.61</v>
          </cell>
          <cell r="R23">
            <v>9.84</v>
          </cell>
          <cell r="W23">
            <v>10</v>
          </cell>
          <cell r="AB23">
            <v>10</v>
          </cell>
          <cell r="AC23">
            <v>10</v>
          </cell>
          <cell r="AE23">
            <v>10</v>
          </cell>
        </row>
        <row r="24">
          <cell r="H24">
            <v>9.24</v>
          </cell>
          <cell r="M24">
            <v>7.74</v>
          </cell>
          <cell r="R24">
            <v>9.0399999999999991</v>
          </cell>
          <cell r="W24">
            <v>9.6199999999999992</v>
          </cell>
          <cell r="AB24">
            <v>9.41</v>
          </cell>
          <cell r="AC24">
            <v>10</v>
          </cell>
          <cell r="AE24">
            <v>10</v>
          </cell>
        </row>
        <row r="25">
          <cell r="H25">
            <v>9.81</v>
          </cell>
          <cell r="M25">
            <v>8.93</v>
          </cell>
          <cell r="R25">
            <v>9.42</v>
          </cell>
          <cell r="W25">
            <v>9.31</v>
          </cell>
          <cell r="AB25">
            <v>9.3000000000000007</v>
          </cell>
          <cell r="AC25">
            <v>10</v>
          </cell>
          <cell r="AE25">
            <v>10</v>
          </cell>
        </row>
        <row r="26">
          <cell r="H26">
            <v>8</v>
          </cell>
          <cell r="M26">
            <v>8.1199999999999992</v>
          </cell>
          <cell r="R26">
            <v>8.99</v>
          </cell>
          <cell r="W26">
            <v>8.7100000000000009</v>
          </cell>
          <cell r="AB26">
            <v>9.65</v>
          </cell>
          <cell r="AC26">
            <v>10</v>
          </cell>
          <cell r="AE26">
            <v>10</v>
          </cell>
        </row>
        <row r="27">
          <cell r="H27">
            <v>9.77</v>
          </cell>
          <cell r="M27">
            <v>9.3800000000000008</v>
          </cell>
          <cell r="R27">
            <v>9.49</v>
          </cell>
          <cell r="W27">
            <v>9.5399999999999991</v>
          </cell>
          <cell r="AB27">
            <v>10</v>
          </cell>
          <cell r="AC27">
            <v>10</v>
          </cell>
          <cell r="AE27">
            <v>10</v>
          </cell>
        </row>
        <row r="28">
          <cell r="H28">
            <v>8.6300000000000008</v>
          </cell>
          <cell r="M28">
            <v>8.1999999999999993</v>
          </cell>
          <cell r="R28">
            <v>9.14</v>
          </cell>
          <cell r="W28">
            <v>8.58</v>
          </cell>
          <cell r="AB28">
            <v>9.1199999999999992</v>
          </cell>
          <cell r="AC28">
            <v>10</v>
          </cell>
          <cell r="AE28">
            <v>10</v>
          </cell>
        </row>
        <row r="29">
          <cell r="H29">
            <v>8.66</v>
          </cell>
          <cell r="M29">
            <v>7.96</v>
          </cell>
          <cell r="R29">
            <v>9.27</v>
          </cell>
          <cell r="W29">
            <v>9.17</v>
          </cell>
          <cell r="AB29">
            <v>8.85</v>
          </cell>
          <cell r="AC29">
            <v>10</v>
          </cell>
          <cell r="AE29">
            <v>10</v>
          </cell>
        </row>
        <row r="30">
          <cell r="H30">
            <v>9.51</v>
          </cell>
          <cell r="M30">
            <v>8.69</v>
          </cell>
          <cell r="R30">
            <v>8.9</v>
          </cell>
          <cell r="W30">
            <v>9.17</v>
          </cell>
          <cell r="AB30">
            <v>9.5299999999999994</v>
          </cell>
          <cell r="AC30">
            <v>10</v>
          </cell>
          <cell r="AE30">
            <v>10</v>
          </cell>
        </row>
        <row r="31">
          <cell r="H31">
            <v>8.74</v>
          </cell>
          <cell r="M31">
            <v>7.17</v>
          </cell>
          <cell r="R31">
            <v>9.44</v>
          </cell>
          <cell r="W31">
            <v>8.8699999999999992</v>
          </cell>
          <cell r="AB31">
            <v>8.8800000000000008</v>
          </cell>
          <cell r="AC31">
            <v>10</v>
          </cell>
          <cell r="AE31">
            <v>10</v>
          </cell>
        </row>
        <row r="32">
          <cell r="H32">
            <v>9.27</v>
          </cell>
          <cell r="M32">
            <v>9.4600000000000009</v>
          </cell>
          <cell r="R32">
            <v>9.1999999999999993</v>
          </cell>
          <cell r="W32">
            <v>9.69</v>
          </cell>
          <cell r="AB32">
            <v>10</v>
          </cell>
          <cell r="AC32">
            <v>10</v>
          </cell>
          <cell r="AE32">
            <v>10</v>
          </cell>
        </row>
        <row r="33">
          <cell r="H33">
            <v>9.5399999999999991</v>
          </cell>
          <cell r="M33">
            <v>8.1999999999999993</v>
          </cell>
          <cell r="R33">
            <v>9.39</v>
          </cell>
          <cell r="W33">
            <v>9.69</v>
          </cell>
          <cell r="AB33">
            <v>9.41</v>
          </cell>
          <cell r="AC33">
            <v>10</v>
          </cell>
          <cell r="AE33">
            <v>10</v>
          </cell>
        </row>
        <row r="34">
          <cell r="H34">
            <v>8.7100000000000009</v>
          </cell>
          <cell r="M34">
            <v>7.5</v>
          </cell>
          <cell r="R34">
            <v>9.85</v>
          </cell>
          <cell r="W34">
            <v>9.7200000000000006</v>
          </cell>
          <cell r="AB34">
            <v>9.41</v>
          </cell>
          <cell r="AC34">
            <v>10</v>
          </cell>
          <cell r="AE34">
            <v>10</v>
          </cell>
        </row>
        <row r="35">
          <cell r="H35">
            <v>7.71</v>
          </cell>
          <cell r="M35">
            <v>7.08</v>
          </cell>
          <cell r="R35">
            <v>9.06</v>
          </cell>
          <cell r="W35">
            <v>8.7899999999999991</v>
          </cell>
          <cell r="AB35">
            <v>8.33</v>
          </cell>
          <cell r="AC35">
            <v>10</v>
          </cell>
          <cell r="AE35">
            <v>10</v>
          </cell>
        </row>
        <row r="36">
          <cell r="H36">
            <v>8.59</v>
          </cell>
          <cell r="M36">
            <v>8.76</v>
          </cell>
          <cell r="R36">
            <v>9.5</v>
          </cell>
          <cell r="W36">
            <v>9.7200000000000006</v>
          </cell>
          <cell r="AB36">
            <v>9.44</v>
          </cell>
          <cell r="AC36">
            <v>10</v>
          </cell>
          <cell r="AE36">
            <v>10</v>
          </cell>
        </row>
        <row r="37">
          <cell r="H37">
            <v>9.81</v>
          </cell>
          <cell r="M37">
            <v>9.64</v>
          </cell>
          <cell r="R37">
            <v>9.6199999999999992</v>
          </cell>
          <cell r="W37">
            <v>10</v>
          </cell>
          <cell r="AB37">
            <v>10</v>
          </cell>
          <cell r="AC37">
            <v>10</v>
          </cell>
          <cell r="AE37">
            <v>10</v>
          </cell>
        </row>
        <row r="38">
          <cell r="H38">
            <v>9.92</v>
          </cell>
          <cell r="M38">
            <v>9.75</v>
          </cell>
          <cell r="R38">
            <v>9.92</v>
          </cell>
          <cell r="W38">
            <v>9.85</v>
          </cell>
          <cell r="AB38">
            <v>10</v>
          </cell>
          <cell r="AC38">
            <v>10</v>
          </cell>
          <cell r="AE38">
            <v>10</v>
          </cell>
        </row>
        <row r="39">
          <cell r="H39">
            <v>9.6199999999999992</v>
          </cell>
          <cell r="M39">
            <v>8.42</v>
          </cell>
          <cell r="R39">
            <v>16.12</v>
          </cell>
          <cell r="W39">
            <v>9.36</v>
          </cell>
          <cell r="AB39">
            <v>9.65</v>
          </cell>
          <cell r="AC39">
            <v>10</v>
          </cell>
          <cell r="AE39">
            <v>10</v>
          </cell>
        </row>
        <row r="40">
          <cell r="H40">
            <v>17.79</v>
          </cell>
          <cell r="M40">
            <v>8.0399999999999991</v>
          </cell>
          <cell r="R40">
            <v>17.07</v>
          </cell>
          <cell r="W40">
            <v>9.27</v>
          </cell>
          <cell r="AB40">
            <v>9.3000000000000007</v>
          </cell>
          <cell r="AC40">
            <v>10</v>
          </cell>
          <cell r="AE40">
            <v>10</v>
          </cell>
        </row>
        <row r="41">
          <cell r="H41">
            <v>9.5299999999999994</v>
          </cell>
          <cell r="M41">
            <v>8.7200000000000006</v>
          </cell>
          <cell r="R41">
            <v>9.5399999999999991</v>
          </cell>
          <cell r="W41">
            <v>9.5399999999999991</v>
          </cell>
          <cell r="AB41">
            <v>9.3000000000000007</v>
          </cell>
          <cell r="AC41">
            <v>10</v>
          </cell>
          <cell r="AE41">
            <v>10</v>
          </cell>
        </row>
        <row r="42">
          <cell r="H42">
            <v>9.9700000000000006</v>
          </cell>
          <cell r="M42">
            <v>10</v>
          </cell>
          <cell r="R42">
            <v>10</v>
          </cell>
          <cell r="W42">
            <v>10</v>
          </cell>
          <cell r="AB42">
            <v>10</v>
          </cell>
          <cell r="AC42">
            <v>10</v>
          </cell>
          <cell r="AE42">
            <v>10</v>
          </cell>
        </row>
        <row r="43">
          <cell r="H43">
            <v>9.52</v>
          </cell>
          <cell r="M43">
            <v>8.15</v>
          </cell>
          <cell r="R43">
            <v>8.3699999999999992</v>
          </cell>
          <cell r="W43">
            <v>8.6</v>
          </cell>
          <cell r="AB43">
            <v>8.42</v>
          </cell>
          <cell r="AC43">
            <v>8</v>
          </cell>
          <cell r="AE43">
            <v>10</v>
          </cell>
        </row>
        <row r="44">
          <cell r="H44">
            <v>9.82</v>
          </cell>
          <cell r="M44">
            <v>9.48</v>
          </cell>
          <cell r="R44">
            <v>9.69</v>
          </cell>
          <cell r="W44">
            <v>9.5299999999999994</v>
          </cell>
          <cell r="AB44">
            <v>10</v>
          </cell>
          <cell r="AC44">
            <v>10</v>
          </cell>
          <cell r="AE44">
            <v>10</v>
          </cell>
        </row>
        <row r="45">
          <cell r="H45">
            <v>9.74</v>
          </cell>
          <cell r="M45">
            <v>9.44</v>
          </cell>
          <cell r="R45">
            <v>10</v>
          </cell>
          <cell r="W45">
            <v>10</v>
          </cell>
          <cell r="AB45">
            <v>9.82</v>
          </cell>
          <cell r="AC45">
            <v>10</v>
          </cell>
          <cell r="AE45">
            <v>10</v>
          </cell>
        </row>
        <row r="46">
          <cell r="H46">
            <v>9.67</v>
          </cell>
          <cell r="M46">
            <v>9.3699999999999992</v>
          </cell>
          <cell r="R46">
            <v>9.2200000000000006</v>
          </cell>
          <cell r="W46">
            <v>10</v>
          </cell>
          <cell r="AB46">
            <v>9.76</v>
          </cell>
          <cell r="AC46">
            <v>10</v>
          </cell>
          <cell r="AE46">
            <v>10</v>
          </cell>
        </row>
        <row r="47">
          <cell r="H47">
            <v>7.4</v>
          </cell>
          <cell r="M47">
            <v>7.01</v>
          </cell>
          <cell r="R47">
            <v>8.2899999999999991</v>
          </cell>
          <cell r="W47">
            <v>8.36</v>
          </cell>
          <cell r="AB47">
            <v>8.3000000000000007</v>
          </cell>
          <cell r="AC47">
            <v>10</v>
          </cell>
          <cell r="AE47">
            <v>10</v>
          </cell>
        </row>
        <row r="48">
          <cell r="H48">
            <v>7.03</v>
          </cell>
          <cell r="M48">
            <v>7.02</v>
          </cell>
          <cell r="R48">
            <v>7.49</v>
          </cell>
          <cell r="W48">
            <v>8.0500000000000007</v>
          </cell>
          <cell r="AB48">
            <v>7.43</v>
          </cell>
          <cell r="AC48">
            <v>9</v>
          </cell>
          <cell r="AE48">
            <v>10</v>
          </cell>
        </row>
        <row r="49">
          <cell r="H49">
            <v>9.44</v>
          </cell>
          <cell r="M49">
            <v>9.1300000000000008</v>
          </cell>
          <cell r="R49">
            <v>9.67</v>
          </cell>
          <cell r="W49">
            <v>9.58</v>
          </cell>
          <cell r="AB49">
            <v>9.93</v>
          </cell>
          <cell r="AC49">
            <v>10</v>
          </cell>
          <cell r="AE49">
            <v>10</v>
          </cell>
        </row>
        <row r="50">
          <cell r="H50" t="str">
            <v/>
          </cell>
          <cell r="M50">
            <v>7.92</v>
          </cell>
          <cell r="R50">
            <v>9.85</v>
          </cell>
          <cell r="W50">
            <v>9.16</v>
          </cell>
          <cell r="AB50">
            <v>10</v>
          </cell>
          <cell r="AC50">
            <v>10</v>
          </cell>
          <cell r="AE50">
            <v>10</v>
          </cell>
        </row>
      </sheetData>
      <sheetData sheetId="11">
        <row r="52">
          <cell r="C52" t="str">
            <v>LENGUA Y LITERATURA</v>
          </cell>
          <cell r="D52">
            <v>9.41</v>
          </cell>
        </row>
        <row r="53">
          <cell r="C53" t="str">
            <v>MATEMÁTICA</v>
          </cell>
          <cell r="D53">
            <v>8.6</v>
          </cell>
        </row>
        <row r="54">
          <cell r="C54" t="str">
            <v>ESTUDIOS SOCIALES</v>
          </cell>
          <cell r="D54">
            <v>9.73</v>
          </cell>
        </row>
        <row r="55">
          <cell r="C55" t="str">
            <v>CIENCIAS NATURALES</v>
          </cell>
          <cell r="D55">
            <v>9.43</v>
          </cell>
        </row>
        <row r="56">
          <cell r="C56" t="str">
            <v>INGLÉS</v>
          </cell>
          <cell r="D56">
            <v>9.52</v>
          </cell>
        </row>
        <row r="57">
          <cell r="C57" t="str">
            <v>EDUCACIÓN FÍSICA</v>
          </cell>
          <cell r="D57">
            <v>9.92</v>
          </cell>
        </row>
        <row r="58">
          <cell r="C58" t="str">
            <v>EDUCACIÓN CULTURAL Y ARÍSTICA</v>
          </cell>
          <cell r="D58">
            <v>10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A7C9-F51A-4402-B095-AB6DF4C4E4C3}">
  <sheetPr>
    <tabColor rgb="FF002060"/>
  </sheetPr>
  <dimension ref="A1:K64"/>
  <sheetViews>
    <sheetView showGridLines="0" tabSelected="1" topLeftCell="A5" zoomScale="120" zoomScaleNormal="120" workbookViewId="0">
      <selection activeCell="D9" sqref="D9"/>
    </sheetView>
  </sheetViews>
  <sheetFormatPr baseColWidth="10" defaultRowHeight="15" x14ac:dyDescent="0.25"/>
  <cols>
    <col min="1" max="1" width="3.140625" customWidth="1"/>
    <col min="2" max="2" width="10.7109375" customWidth="1"/>
    <col min="3" max="3" width="45.7109375" customWidth="1"/>
    <col min="4" max="10" width="8.140625" customWidth="1"/>
    <col min="11" max="11" width="10.7109375" customWidth="1"/>
    <col min="12" max="12" width="4.5703125" customWidth="1"/>
  </cols>
  <sheetData>
    <row r="1" spans="1:11" ht="76.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6" hidden="1" customHeight="1" x14ac:dyDescent="0.25">
      <c r="A2" s="2" t="s">
        <v>0</v>
      </c>
      <c r="B2" s="2"/>
      <c r="C2" s="3"/>
      <c r="D2" s="3"/>
      <c r="E2" s="3"/>
      <c r="F2" s="3"/>
      <c r="G2" s="3"/>
      <c r="H2" s="4"/>
      <c r="I2" s="4"/>
      <c r="J2" s="4"/>
      <c r="K2" s="4"/>
    </row>
    <row r="3" spans="1:11" ht="15.75" customHeight="1" x14ac:dyDescent="0.25">
      <c r="A3" s="5" t="s">
        <v>0</v>
      </c>
      <c r="B3" s="5"/>
      <c r="C3" s="6" t="str">
        <f>[1]MENÚ!A2</f>
        <v>UNIDAD EDUCATIVA DEL MILENIO 
CIUDAD DE PEDERNALES</v>
      </c>
      <c r="D3" s="6"/>
      <c r="E3" s="6"/>
      <c r="F3" s="6"/>
      <c r="G3" s="6"/>
      <c r="H3" s="4"/>
      <c r="I3" s="4"/>
      <c r="J3" s="4"/>
      <c r="K3" s="4"/>
    </row>
    <row r="4" spans="1:11" ht="15.75" customHeight="1" x14ac:dyDescent="0.25">
      <c r="A4" s="5" t="s">
        <v>1</v>
      </c>
      <c r="B4" s="5"/>
      <c r="C4" s="7" t="str">
        <f>[1]MENÚ!B7</f>
        <v>MGTR. YUGCHA BRAVO SHIRLEY</v>
      </c>
      <c r="D4" s="7"/>
      <c r="E4" s="7"/>
      <c r="F4" s="7"/>
      <c r="G4" s="7"/>
      <c r="H4" s="4"/>
      <c r="I4" s="4"/>
      <c r="J4" s="4"/>
      <c r="K4" s="4"/>
    </row>
    <row r="5" spans="1:11" ht="15.75" customHeight="1" x14ac:dyDescent="0.25">
      <c r="A5" s="5" t="s">
        <v>2</v>
      </c>
      <c r="B5" s="5"/>
      <c r="C5" s="8" t="str">
        <f>[1]MENÚ!G7</f>
        <v>2do</v>
      </c>
      <c r="D5" s="9"/>
      <c r="E5" s="10" t="s">
        <v>3</v>
      </c>
      <c r="F5" s="10"/>
      <c r="G5" s="11" t="str">
        <f>[1]MENÚ!G8</f>
        <v>A</v>
      </c>
      <c r="H5" s="4"/>
      <c r="I5" s="4"/>
      <c r="J5" s="4"/>
      <c r="K5" s="4"/>
    </row>
    <row r="6" spans="1:11" s="13" customFormat="1" ht="4.5" customHeight="1" x14ac:dyDescent="0.25">
      <c r="A6" s="12">
        <v>1</v>
      </c>
      <c r="B6" s="12">
        <v>2</v>
      </c>
      <c r="C6" s="12">
        <v>3</v>
      </c>
      <c r="D6" s="12">
        <v>4</v>
      </c>
      <c r="E6" s="12">
        <v>5</v>
      </c>
      <c r="F6" s="12">
        <v>6</v>
      </c>
      <c r="G6" s="12">
        <v>7</v>
      </c>
      <c r="H6" s="12">
        <v>8</v>
      </c>
      <c r="I6" s="12">
        <v>12</v>
      </c>
      <c r="J6" s="12">
        <v>13</v>
      </c>
      <c r="K6" s="12">
        <v>20</v>
      </c>
    </row>
    <row r="7" spans="1:11" ht="21" customHeight="1" thickBot="1" x14ac:dyDescent="0.3">
      <c r="A7" s="14" t="s">
        <v>4</v>
      </c>
      <c r="B7" s="14"/>
      <c r="C7" s="14"/>
      <c r="D7" s="14"/>
      <c r="E7" s="14"/>
      <c r="F7" s="14"/>
      <c r="G7" s="14"/>
      <c r="H7" s="14"/>
      <c r="I7" s="14"/>
      <c r="J7" s="14"/>
      <c r="K7" s="14"/>
    </row>
    <row r="8" spans="1:11" ht="60" customHeight="1" thickTop="1" thickBot="1" x14ac:dyDescent="0.3">
      <c r="A8" s="15" t="s">
        <v>5</v>
      </c>
      <c r="B8" s="16" t="s">
        <v>6</v>
      </c>
      <c r="C8" s="17" t="s">
        <v>7</v>
      </c>
      <c r="D8" s="18" t="str">
        <f>'[1]CALIF. 1ER TRIM.'!D7</f>
        <v>LENGUA Y LITERATURA</v>
      </c>
      <c r="E8" s="19" t="str">
        <f>'[1]CALIF. 1ER TRIM.'!I7</f>
        <v>MATEMÁTICA</v>
      </c>
      <c r="F8" s="20" t="str">
        <f>'[1]CALIF. 1ER TRIM.'!N7</f>
        <v>ESTUDIOS SOCIALES</v>
      </c>
      <c r="G8" s="21" t="str">
        <f>'[1]CALIF. 1ER TRIM.'!S7</f>
        <v>CIENCIAS NATURALES</v>
      </c>
      <c r="H8" s="22" t="str">
        <f>'[1]CALIF. 1ER TRIM.'!X7</f>
        <v>INGLÉS</v>
      </c>
      <c r="I8" s="23" t="str">
        <f>'[1]CALIF. 1ER TRIM.'!AC7</f>
        <v>EDUCACIÓN FÍSICA</v>
      </c>
      <c r="J8" s="24" t="str">
        <f>'[1]CALIF. 1ER TRIM.'!AE7</f>
        <v>EDUCACIÓN CULTURAL Y ARÍSTICA</v>
      </c>
      <c r="K8" s="25" t="s">
        <v>8</v>
      </c>
    </row>
    <row r="9" spans="1:11" s="32" customFormat="1" ht="14.25" customHeight="1" thickTop="1" thickBot="1" x14ac:dyDescent="0.25">
      <c r="A9" s="26">
        <v>1</v>
      </c>
      <c r="B9" s="27">
        <f>'[1]LISTA CAS'!B8</f>
        <v>0</v>
      </c>
      <c r="C9" s="28" t="str">
        <f>'[1]LISTA CAS'!C8</f>
        <v>ALAVA INTRIAGO MADELINE JULIETTE</v>
      </c>
      <c r="D9" s="29">
        <f>'[1]CALIF. 2DO TRIM. '!H11</f>
        <v>9.89</v>
      </c>
      <c r="E9" s="29">
        <f>'[1]CALIF. 2DO TRIM. '!M11</f>
        <v>9.0399999999999991</v>
      </c>
      <c r="F9" s="29">
        <f>'[1]CALIF. 2DO TRIM. '!R11</f>
        <v>9.42</v>
      </c>
      <c r="G9" s="29">
        <f>'[1]CALIF. 2DO TRIM. '!W11</f>
        <v>10</v>
      </c>
      <c r="H9" s="29">
        <f>'[1]CALIF. 2DO TRIM. '!AB11</f>
        <v>10</v>
      </c>
      <c r="I9" s="29">
        <f>'[1]CALIF. 2DO TRIM. '!AC11</f>
        <v>10</v>
      </c>
      <c r="J9" s="30">
        <f>'[1]CALIF. 2DO TRIM. '!AE11</f>
        <v>10</v>
      </c>
      <c r="K9" s="31">
        <f t="shared" ref="K9:K48" si="0">IFERROR(TRUNC(AVERAGE(D9:J9),2),"")</f>
        <v>9.76</v>
      </c>
    </row>
    <row r="10" spans="1:11" s="32" customFormat="1" ht="14.25" customHeight="1" thickTop="1" thickBot="1" x14ac:dyDescent="0.25">
      <c r="A10" s="26">
        <v>2</v>
      </c>
      <c r="B10" s="27">
        <f>'[1]LISTA CAS'!B9</f>
        <v>0</v>
      </c>
      <c r="C10" s="28" t="str">
        <f>'[1]LISTA CAS'!C9</f>
        <v>ALCIVAR MUÑOZ ORIANA VALESKA</v>
      </c>
      <c r="D10" s="29">
        <f>'[1]CALIF. 2DO TRIM. '!H12</f>
        <v>9.7899999999999991</v>
      </c>
      <c r="E10" s="29">
        <f>'[1]CALIF. 2DO TRIM. '!M12</f>
        <v>9.5</v>
      </c>
      <c r="F10" s="29">
        <f>'[1]CALIF. 2DO TRIM. '!R12</f>
        <v>9.85</v>
      </c>
      <c r="G10" s="29">
        <f>'[1]CALIF. 2DO TRIM. '!W12</f>
        <v>10</v>
      </c>
      <c r="H10" s="29">
        <f>'[1]CALIF. 2DO TRIM. '!AB12</f>
        <v>10</v>
      </c>
      <c r="I10" s="29">
        <f>'[1]CALIF. 2DO TRIM. '!AC12</f>
        <v>10</v>
      </c>
      <c r="J10" s="30">
        <f>'[1]CALIF. 2DO TRIM. '!AE12</f>
        <v>10</v>
      </c>
      <c r="K10" s="31">
        <f t="shared" si="0"/>
        <v>9.8699999999999992</v>
      </c>
    </row>
    <row r="11" spans="1:11" s="32" customFormat="1" ht="14.25" customHeight="1" thickTop="1" thickBot="1" x14ac:dyDescent="0.25">
      <c r="A11" s="26">
        <v>3</v>
      </c>
      <c r="B11" s="27">
        <f>'[1]LISTA CAS'!B10</f>
        <v>0</v>
      </c>
      <c r="C11" s="28" t="str">
        <f>'[1]LISTA CAS'!C10</f>
        <v>ARIAS MUÑOZ FERNANDO ELIAN</v>
      </c>
      <c r="D11" s="29">
        <f>'[1]CALIF. 2DO TRIM. '!H13</f>
        <v>9.57</v>
      </c>
      <c r="E11" s="29">
        <f>'[1]CALIF. 2DO TRIM. '!M13</f>
        <v>8.68</v>
      </c>
      <c r="F11" s="29">
        <f>'[1]CALIF. 2DO TRIM. '!R13</f>
        <v>9.6999999999999993</v>
      </c>
      <c r="G11" s="29">
        <f>'[1]CALIF. 2DO TRIM. '!W13</f>
        <v>9.6300000000000008</v>
      </c>
      <c r="H11" s="29">
        <f>'[1]CALIF. 2DO TRIM. '!AB13</f>
        <v>10</v>
      </c>
      <c r="I11" s="29">
        <f>'[1]CALIF. 2DO TRIM. '!AC13</f>
        <v>10</v>
      </c>
      <c r="J11" s="30">
        <f>'[1]CALIF. 2DO TRIM. '!AE13</f>
        <v>10</v>
      </c>
      <c r="K11" s="31">
        <f t="shared" si="0"/>
        <v>9.65</v>
      </c>
    </row>
    <row r="12" spans="1:11" s="32" customFormat="1" ht="14.25" customHeight="1" thickTop="1" thickBot="1" x14ac:dyDescent="0.25">
      <c r="A12" s="26">
        <v>4</v>
      </c>
      <c r="B12" s="27">
        <f>'[1]LISTA CAS'!B11</f>
        <v>0</v>
      </c>
      <c r="C12" s="28" t="str">
        <f>'[1]LISTA CAS'!C11</f>
        <v>BARRE MAGALLAN BASTIAN OMAR</v>
      </c>
      <c r="D12" s="29">
        <f>'[1]CALIF. 2DO TRIM. '!H14</f>
        <v>8.07</v>
      </c>
      <c r="E12" s="29">
        <f>'[1]CALIF. 2DO TRIM. '!M14</f>
        <v>7</v>
      </c>
      <c r="F12" s="29">
        <f>'[1]CALIF. 2DO TRIM. '!R14</f>
        <v>9.14</v>
      </c>
      <c r="G12" s="29">
        <f>'[1]CALIF. 2DO TRIM. '!W14</f>
        <v>8.92</v>
      </c>
      <c r="H12" s="29">
        <f>'[1]CALIF. 2DO TRIM. '!AB14</f>
        <v>8.7100000000000009</v>
      </c>
      <c r="I12" s="29">
        <f>'[1]CALIF. 2DO TRIM. '!AC14</f>
        <v>10</v>
      </c>
      <c r="J12" s="30">
        <f>'[1]CALIF. 2DO TRIM. '!AE14</f>
        <v>10</v>
      </c>
      <c r="K12" s="31">
        <f t="shared" si="0"/>
        <v>8.83</v>
      </c>
    </row>
    <row r="13" spans="1:11" s="32" customFormat="1" ht="14.25" customHeight="1" thickTop="1" thickBot="1" x14ac:dyDescent="0.25">
      <c r="A13" s="26">
        <v>5</v>
      </c>
      <c r="B13" s="27">
        <f>'[1]LISTA CAS'!B12</f>
        <v>0</v>
      </c>
      <c r="C13" s="28" t="str">
        <f>'[1]LISTA CAS'!C12</f>
        <v>BASURTO MOREIRA VICTORIA CHARLOTTE</v>
      </c>
      <c r="D13" s="29">
        <f>'[1]CALIF. 2DO TRIM. '!H15</f>
        <v>9.84</v>
      </c>
      <c r="E13" s="29">
        <f>'[1]CALIF. 2DO TRIM. '!M15</f>
        <v>9.61</v>
      </c>
      <c r="F13" s="29">
        <f>'[1]CALIF. 2DO TRIM. '!R15</f>
        <v>9.7200000000000006</v>
      </c>
      <c r="G13" s="29">
        <f>'[1]CALIF. 2DO TRIM. '!W15</f>
        <v>9.89</v>
      </c>
      <c r="H13" s="29">
        <f>'[1]CALIF. 2DO TRIM. '!AB15</f>
        <v>10</v>
      </c>
      <c r="I13" s="29">
        <f>'[1]CALIF. 2DO TRIM. '!AC15</f>
        <v>10</v>
      </c>
      <c r="J13" s="30">
        <f>'[1]CALIF. 2DO TRIM. '!AE15</f>
        <v>10</v>
      </c>
      <c r="K13" s="31">
        <f t="shared" si="0"/>
        <v>9.86</v>
      </c>
    </row>
    <row r="14" spans="1:11" s="32" customFormat="1" ht="14.25" customHeight="1" thickTop="1" thickBot="1" x14ac:dyDescent="0.25">
      <c r="A14" s="26">
        <v>6</v>
      </c>
      <c r="B14" s="27">
        <f>'[1]LISTA CAS'!B13</f>
        <v>0</v>
      </c>
      <c r="C14" s="28" t="str">
        <f>'[1]LISTA CAS'!C13</f>
        <v>BONE CUERO JOSAFAT ISAAC</v>
      </c>
      <c r="D14" s="29">
        <f>'[1]CALIF. 2DO TRIM. '!H16</f>
        <v>9.33</v>
      </c>
      <c r="E14" s="29">
        <f>'[1]CALIF. 2DO TRIM. '!M16</f>
        <v>9.0299999999999994</v>
      </c>
      <c r="F14" s="29">
        <f>'[1]CALIF. 2DO TRIM. '!R16</f>
        <v>9.4700000000000006</v>
      </c>
      <c r="G14" s="29">
        <f>'[1]CALIF. 2DO TRIM. '!W16</f>
        <v>9.24</v>
      </c>
      <c r="H14" s="29">
        <f>'[1]CALIF. 2DO TRIM. '!AB16</f>
        <v>9.3000000000000007</v>
      </c>
      <c r="I14" s="29">
        <f>'[1]CALIF. 2DO TRIM. '!AC16</f>
        <v>10</v>
      </c>
      <c r="J14" s="30">
        <f>'[1]CALIF. 2DO TRIM. '!AE16</f>
        <v>10</v>
      </c>
      <c r="K14" s="31">
        <f t="shared" si="0"/>
        <v>9.48</v>
      </c>
    </row>
    <row r="15" spans="1:11" s="32" customFormat="1" ht="14.25" customHeight="1" thickTop="1" thickBot="1" x14ac:dyDescent="0.25">
      <c r="A15" s="26">
        <v>7</v>
      </c>
      <c r="B15" s="27">
        <f>'[1]LISTA CAS'!B14</f>
        <v>0</v>
      </c>
      <c r="C15" s="28" t="str">
        <f>'[1]LISTA CAS'!C14</f>
        <v>CAGUA ROMAN DARA ABIGAIL</v>
      </c>
      <c r="D15" s="29">
        <f>'[1]CALIF. 2DO TRIM. '!H17</f>
        <v>9.5399999999999991</v>
      </c>
      <c r="E15" s="29">
        <f>'[1]CALIF. 2DO TRIM. '!M17</f>
        <v>9.07</v>
      </c>
      <c r="F15" s="29">
        <f>'[1]CALIF. 2DO TRIM. '!R17</f>
        <v>9.56</v>
      </c>
      <c r="G15" s="29">
        <f>'[1]CALIF. 2DO TRIM. '!W17</f>
        <v>9.74</v>
      </c>
      <c r="H15" s="29">
        <f>'[1]CALIF. 2DO TRIM. '!AB17</f>
        <v>10</v>
      </c>
      <c r="I15" s="29">
        <f>'[1]CALIF. 2DO TRIM. '!AC17</f>
        <v>10</v>
      </c>
      <c r="J15" s="30">
        <f>'[1]CALIF. 2DO TRIM. '!AE17</f>
        <v>10</v>
      </c>
      <c r="K15" s="31">
        <f t="shared" si="0"/>
        <v>9.6999999999999993</v>
      </c>
    </row>
    <row r="16" spans="1:11" s="32" customFormat="1" ht="14.25" customHeight="1" thickTop="1" thickBot="1" x14ac:dyDescent="0.25">
      <c r="A16" s="26">
        <v>8</v>
      </c>
      <c r="B16" s="27">
        <f>'[1]LISTA CAS'!B15</f>
        <v>0</v>
      </c>
      <c r="C16" s="28" t="str">
        <f>'[1]LISTA CAS'!C15</f>
        <v>CALDERON CAÑARTE KEVIN DANIEL</v>
      </c>
      <c r="D16" s="29">
        <f>'[1]CALIF. 2DO TRIM. '!H18</f>
        <v>8.83</v>
      </c>
      <c r="E16" s="29">
        <f>'[1]CALIF. 2DO TRIM. '!M18</f>
        <v>7.32</v>
      </c>
      <c r="F16" s="29">
        <f>'[1]CALIF. 2DO TRIM. '!R18</f>
        <v>9.32</v>
      </c>
      <c r="G16" s="29">
        <f>'[1]CALIF. 2DO TRIM. '!W18</f>
        <v>9.32</v>
      </c>
      <c r="H16" s="29">
        <f>'[1]CALIF. 2DO TRIM. '!AB18</f>
        <v>10</v>
      </c>
      <c r="I16" s="29">
        <f>'[1]CALIF. 2DO TRIM. '!AC18</f>
        <v>10</v>
      </c>
      <c r="J16" s="30">
        <f>'[1]CALIF. 2DO TRIM. '!AE18</f>
        <v>10</v>
      </c>
      <c r="K16" s="31">
        <f t="shared" si="0"/>
        <v>9.25</v>
      </c>
    </row>
    <row r="17" spans="1:11" s="32" customFormat="1" ht="14.25" customHeight="1" thickTop="1" thickBot="1" x14ac:dyDescent="0.25">
      <c r="A17" s="26">
        <v>9</v>
      </c>
      <c r="B17" s="27">
        <f>'[1]LISTA CAS'!B16</f>
        <v>0</v>
      </c>
      <c r="C17" s="28" t="str">
        <f>'[1]LISTA CAS'!C16</f>
        <v>CALDERON VILELA BRITANNY AILIN</v>
      </c>
      <c r="D17" s="29">
        <f>'[1]CALIF. 2DO TRIM. '!H19</f>
        <v>9.02</v>
      </c>
      <c r="E17" s="29">
        <f>'[1]CALIF. 2DO TRIM. '!M19</f>
        <v>8.7899999999999991</v>
      </c>
      <c r="F17" s="29">
        <f>'[1]CALIF. 2DO TRIM. '!R19</f>
        <v>9.59</v>
      </c>
      <c r="G17" s="29">
        <f>'[1]CALIF. 2DO TRIM. '!W19</f>
        <v>10</v>
      </c>
      <c r="H17" s="29">
        <f>'[1]CALIF. 2DO TRIM. '!AB19</f>
        <v>10</v>
      </c>
      <c r="I17" s="29">
        <f>'[1]CALIF. 2DO TRIM. '!AC19</f>
        <v>10</v>
      </c>
      <c r="J17" s="30">
        <f>'[1]CALIF. 2DO TRIM. '!AE19</f>
        <v>10</v>
      </c>
      <c r="K17" s="31">
        <f t="shared" si="0"/>
        <v>9.6199999999999992</v>
      </c>
    </row>
    <row r="18" spans="1:11" s="32" customFormat="1" ht="14.25" customHeight="1" thickTop="1" thickBot="1" x14ac:dyDescent="0.25">
      <c r="A18" s="26">
        <v>10</v>
      </c>
      <c r="B18" s="27">
        <f>'[1]LISTA CAS'!B17</f>
        <v>0</v>
      </c>
      <c r="C18" s="28" t="str">
        <f>'[1]LISTA CAS'!C17</f>
        <v>CAÑOLA CHILA MARIA FERNANDA</v>
      </c>
      <c r="D18" s="29">
        <f>'[1]CALIF. 2DO TRIM. '!H20</f>
        <v>9.23</v>
      </c>
      <c r="E18" s="29">
        <f>'[1]CALIF. 2DO TRIM. '!M20</f>
        <v>8.69</v>
      </c>
      <c r="F18" s="29">
        <f>'[1]CALIF. 2DO TRIM. '!R20</f>
        <v>9.49</v>
      </c>
      <c r="G18" s="29">
        <f>'[1]CALIF. 2DO TRIM. '!W20</f>
        <v>9.3699999999999992</v>
      </c>
      <c r="H18" s="29">
        <f>'[1]CALIF. 2DO TRIM. '!AB20</f>
        <v>10</v>
      </c>
      <c r="I18" s="29">
        <f>'[1]CALIF. 2DO TRIM. '!AC20</f>
        <v>10</v>
      </c>
      <c r="J18" s="30">
        <f>'[1]CALIF. 2DO TRIM. '!AE20</f>
        <v>10</v>
      </c>
      <c r="K18" s="31">
        <f t="shared" si="0"/>
        <v>9.5399999999999991</v>
      </c>
    </row>
    <row r="19" spans="1:11" s="32" customFormat="1" ht="14.25" customHeight="1" thickTop="1" thickBot="1" x14ac:dyDescent="0.25">
      <c r="A19" s="26">
        <v>11</v>
      </c>
      <c r="B19" s="27">
        <f>'[1]LISTA CAS'!B18</f>
        <v>0</v>
      </c>
      <c r="C19" s="28" t="str">
        <f>'[1]LISTA CAS'!C18</f>
        <v>CRIOLLO JAMA HEYTHAN KEANU</v>
      </c>
      <c r="D19" s="29">
        <f>'[1]CALIF. 2DO TRIM. '!H21</f>
        <v>9.44</v>
      </c>
      <c r="E19" s="29">
        <f>'[1]CALIF. 2DO TRIM. '!M21</f>
        <v>9.31</v>
      </c>
      <c r="F19" s="29">
        <f>'[1]CALIF. 2DO TRIM. '!R21</f>
        <v>9.5500000000000007</v>
      </c>
      <c r="G19" s="29">
        <f>'[1]CALIF. 2DO TRIM. '!W21</f>
        <v>9.8800000000000008</v>
      </c>
      <c r="H19" s="29">
        <f>'[1]CALIF. 2DO TRIM. '!AB21</f>
        <v>9.93</v>
      </c>
      <c r="I19" s="29">
        <f>'[1]CALIF. 2DO TRIM. '!AC21</f>
        <v>10</v>
      </c>
      <c r="J19" s="30">
        <f>'[1]CALIF. 2DO TRIM. '!AE21</f>
        <v>10</v>
      </c>
      <c r="K19" s="31">
        <f t="shared" si="0"/>
        <v>9.73</v>
      </c>
    </row>
    <row r="20" spans="1:11" s="32" customFormat="1" ht="14.25" customHeight="1" thickTop="1" thickBot="1" x14ac:dyDescent="0.25">
      <c r="A20" s="26">
        <v>12</v>
      </c>
      <c r="B20" s="27">
        <f>'[1]LISTA CAS'!B19</f>
        <v>0</v>
      </c>
      <c r="C20" s="28" t="str">
        <f>'[1]LISTA CAS'!C19</f>
        <v>FARIAS QUIÑONEZ SCARLETH JULIETH</v>
      </c>
      <c r="D20" s="29">
        <f>'[1]CALIF. 2DO TRIM. '!H22</f>
        <v>9.5399999999999991</v>
      </c>
      <c r="E20" s="29">
        <f>'[1]CALIF. 2DO TRIM. '!M22</f>
        <v>9.23</v>
      </c>
      <c r="F20" s="29">
        <f>'[1]CALIF. 2DO TRIM. '!R22</f>
        <v>9.3699999999999992</v>
      </c>
      <c r="G20" s="29">
        <f>'[1]CALIF. 2DO TRIM. '!W22</f>
        <v>9.68</v>
      </c>
      <c r="H20" s="29">
        <f>'[1]CALIF. 2DO TRIM. '!AB22</f>
        <v>9.76</v>
      </c>
      <c r="I20" s="29">
        <f>'[1]CALIF. 2DO TRIM. '!AC22</f>
        <v>10</v>
      </c>
      <c r="J20" s="30">
        <f>'[1]CALIF. 2DO TRIM. '!AE22</f>
        <v>10</v>
      </c>
      <c r="K20" s="31">
        <f t="shared" si="0"/>
        <v>9.65</v>
      </c>
    </row>
    <row r="21" spans="1:11" s="32" customFormat="1" ht="14.25" customHeight="1" thickTop="1" thickBot="1" x14ac:dyDescent="0.25">
      <c r="A21" s="26">
        <v>13</v>
      </c>
      <c r="B21" s="27">
        <f>'[1]LISTA CAS'!B20</f>
        <v>0</v>
      </c>
      <c r="C21" s="28" t="str">
        <f>'[1]LISTA CAS'!C20</f>
        <v>GARCIA JIMENEZ DIEGO NICOLAS</v>
      </c>
      <c r="D21" s="29">
        <f>'[1]CALIF. 2DO TRIM. '!H23</f>
        <v>9.75</v>
      </c>
      <c r="E21" s="29">
        <f>'[1]CALIF. 2DO TRIM. '!M23</f>
        <v>9.61</v>
      </c>
      <c r="F21" s="29">
        <f>'[1]CALIF. 2DO TRIM. '!R23</f>
        <v>9.84</v>
      </c>
      <c r="G21" s="29">
        <f>'[1]CALIF. 2DO TRIM. '!W23</f>
        <v>10</v>
      </c>
      <c r="H21" s="29">
        <f>'[1]CALIF. 2DO TRIM. '!AB23</f>
        <v>10</v>
      </c>
      <c r="I21" s="29">
        <f>'[1]CALIF. 2DO TRIM. '!AC23</f>
        <v>10</v>
      </c>
      <c r="J21" s="30">
        <f>'[1]CALIF. 2DO TRIM. '!AE23</f>
        <v>10</v>
      </c>
      <c r="K21" s="31">
        <f t="shared" si="0"/>
        <v>9.8800000000000008</v>
      </c>
    </row>
    <row r="22" spans="1:11" s="32" customFormat="1" ht="14.25" customHeight="1" thickTop="1" thickBot="1" x14ac:dyDescent="0.25">
      <c r="A22" s="26">
        <v>14</v>
      </c>
      <c r="B22" s="27">
        <f>'[1]LISTA CAS'!B21</f>
        <v>0</v>
      </c>
      <c r="C22" s="28" t="str">
        <f>'[1]LISTA CAS'!C21</f>
        <v>GUERRERO NAPA ACENE SAMANTA</v>
      </c>
      <c r="D22" s="29">
        <f>'[1]CALIF. 2DO TRIM. '!H24</f>
        <v>9.24</v>
      </c>
      <c r="E22" s="29">
        <f>'[1]CALIF. 2DO TRIM. '!M24</f>
        <v>7.74</v>
      </c>
      <c r="F22" s="29">
        <f>'[1]CALIF. 2DO TRIM. '!R24</f>
        <v>9.0399999999999991</v>
      </c>
      <c r="G22" s="29">
        <f>'[1]CALIF. 2DO TRIM. '!W24</f>
        <v>9.6199999999999992</v>
      </c>
      <c r="H22" s="29">
        <f>'[1]CALIF. 2DO TRIM. '!AB24</f>
        <v>9.41</v>
      </c>
      <c r="I22" s="29">
        <f>'[1]CALIF. 2DO TRIM. '!AC24</f>
        <v>10</v>
      </c>
      <c r="J22" s="30">
        <f>'[1]CALIF. 2DO TRIM. '!AE24</f>
        <v>10</v>
      </c>
      <c r="K22" s="31">
        <f t="shared" si="0"/>
        <v>9.2899999999999991</v>
      </c>
    </row>
    <row r="23" spans="1:11" s="32" customFormat="1" ht="14.25" customHeight="1" thickTop="1" thickBot="1" x14ac:dyDescent="0.25">
      <c r="A23" s="26">
        <v>15</v>
      </c>
      <c r="B23" s="27">
        <f>'[1]LISTA CAS'!B22</f>
        <v>0</v>
      </c>
      <c r="C23" s="28" t="str">
        <f>'[1]LISTA CAS'!C22</f>
        <v>GUILLEN RODRIGUEZ KIMBERLY DOMENICA</v>
      </c>
      <c r="D23" s="29">
        <f>'[1]CALIF. 2DO TRIM. '!H25</f>
        <v>9.81</v>
      </c>
      <c r="E23" s="29">
        <f>'[1]CALIF. 2DO TRIM. '!M25</f>
        <v>8.93</v>
      </c>
      <c r="F23" s="29">
        <f>'[1]CALIF. 2DO TRIM. '!R25</f>
        <v>9.42</v>
      </c>
      <c r="G23" s="29">
        <f>'[1]CALIF. 2DO TRIM. '!W25</f>
        <v>9.31</v>
      </c>
      <c r="H23" s="29">
        <f>'[1]CALIF. 2DO TRIM. '!AB25</f>
        <v>9.3000000000000007</v>
      </c>
      <c r="I23" s="29">
        <f>'[1]CALIF. 2DO TRIM. '!AC25</f>
        <v>10</v>
      </c>
      <c r="J23" s="30">
        <f>'[1]CALIF. 2DO TRIM. '!AE25</f>
        <v>10</v>
      </c>
      <c r="K23" s="31">
        <f t="shared" si="0"/>
        <v>9.5299999999999994</v>
      </c>
    </row>
    <row r="24" spans="1:11" s="32" customFormat="1" ht="14.25" customHeight="1" thickTop="1" thickBot="1" x14ac:dyDescent="0.25">
      <c r="A24" s="26">
        <v>16</v>
      </c>
      <c r="B24" s="27">
        <f>'[1]LISTA CAS'!B23</f>
        <v>0</v>
      </c>
      <c r="C24" s="28" t="str">
        <f>'[1]LISTA CAS'!C23</f>
        <v>IBARRA PICO JEAN CARLOS</v>
      </c>
      <c r="D24" s="29">
        <f>'[1]CALIF. 2DO TRIM. '!H26</f>
        <v>8</v>
      </c>
      <c r="E24" s="29">
        <f>'[1]CALIF. 2DO TRIM. '!M26</f>
        <v>8.1199999999999992</v>
      </c>
      <c r="F24" s="29">
        <f>'[1]CALIF. 2DO TRIM. '!R26</f>
        <v>8.99</v>
      </c>
      <c r="G24" s="29">
        <f>'[1]CALIF. 2DO TRIM. '!W26</f>
        <v>8.7100000000000009</v>
      </c>
      <c r="H24" s="29">
        <f>'[1]CALIF. 2DO TRIM. '!AB26</f>
        <v>9.65</v>
      </c>
      <c r="I24" s="29">
        <f>'[1]CALIF. 2DO TRIM. '!AC26</f>
        <v>10</v>
      </c>
      <c r="J24" s="30">
        <f>'[1]CALIF. 2DO TRIM. '!AE26</f>
        <v>10</v>
      </c>
      <c r="K24" s="31">
        <f t="shared" si="0"/>
        <v>9.06</v>
      </c>
    </row>
    <row r="25" spans="1:11" s="32" customFormat="1" ht="14.25" customHeight="1" thickTop="1" thickBot="1" x14ac:dyDescent="0.25">
      <c r="A25" s="26">
        <v>17</v>
      </c>
      <c r="B25" s="27">
        <f>'[1]LISTA CAS'!B24</f>
        <v>0</v>
      </c>
      <c r="C25" s="28" t="str">
        <f>'[1]LISTA CAS'!C24</f>
        <v>JAMA IVARRA GIANNA LIDICETH</v>
      </c>
      <c r="D25" s="29">
        <f>'[1]CALIF. 2DO TRIM. '!H27</f>
        <v>9.77</v>
      </c>
      <c r="E25" s="29">
        <f>'[1]CALIF. 2DO TRIM. '!M27</f>
        <v>9.3800000000000008</v>
      </c>
      <c r="F25" s="29">
        <f>'[1]CALIF. 2DO TRIM. '!R27</f>
        <v>9.49</v>
      </c>
      <c r="G25" s="29">
        <f>'[1]CALIF. 2DO TRIM. '!W27</f>
        <v>9.5399999999999991</v>
      </c>
      <c r="H25" s="29">
        <f>'[1]CALIF. 2DO TRIM. '!AB27</f>
        <v>10</v>
      </c>
      <c r="I25" s="29">
        <f>'[1]CALIF. 2DO TRIM. '!AC27</f>
        <v>10</v>
      </c>
      <c r="J25" s="30">
        <f>'[1]CALIF. 2DO TRIM. '!AE27</f>
        <v>10</v>
      </c>
      <c r="K25" s="31">
        <f t="shared" si="0"/>
        <v>9.74</v>
      </c>
    </row>
    <row r="26" spans="1:11" s="32" customFormat="1" ht="14.25" customHeight="1" thickTop="1" thickBot="1" x14ac:dyDescent="0.25">
      <c r="A26" s="26">
        <v>18</v>
      </c>
      <c r="B26" s="27">
        <f>'[1]LISTA CAS'!B25</f>
        <v>0</v>
      </c>
      <c r="C26" s="28" t="str">
        <f>'[1]LISTA CAS'!C25</f>
        <v>JAMA MOREIRA ASHLY DANIELA</v>
      </c>
      <c r="D26" s="29">
        <f>'[1]CALIF. 2DO TRIM. '!H28</f>
        <v>8.6300000000000008</v>
      </c>
      <c r="E26" s="29">
        <f>'[1]CALIF. 2DO TRIM. '!M28</f>
        <v>8.1999999999999993</v>
      </c>
      <c r="F26" s="29">
        <f>'[1]CALIF. 2DO TRIM. '!R28</f>
        <v>9.14</v>
      </c>
      <c r="G26" s="29">
        <f>'[1]CALIF. 2DO TRIM. '!W28</f>
        <v>8.58</v>
      </c>
      <c r="H26" s="29">
        <f>'[1]CALIF. 2DO TRIM. '!AB28</f>
        <v>9.1199999999999992</v>
      </c>
      <c r="I26" s="29">
        <f>'[1]CALIF. 2DO TRIM. '!AC28</f>
        <v>10</v>
      </c>
      <c r="J26" s="30">
        <f>'[1]CALIF. 2DO TRIM. '!AE28</f>
        <v>10</v>
      </c>
      <c r="K26" s="31">
        <f t="shared" si="0"/>
        <v>9.09</v>
      </c>
    </row>
    <row r="27" spans="1:11" s="32" customFormat="1" ht="14.25" customHeight="1" thickTop="1" thickBot="1" x14ac:dyDescent="0.25">
      <c r="A27" s="26">
        <v>19</v>
      </c>
      <c r="B27" s="27">
        <f>'[1]LISTA CAS'!B26</f>
        <v>0</v>
      </c>
      <c r="C27" s="28" t="str">
        <f>'[1]LISTA CAS'!C26</f>
        <v>LOOR MOREIRA ISAIAS EZEQUIEL</v>
      </c>
      <c r="D27" s="29">
        <f>'[1]CALIF. 2DO TRIM. '!H29</f>
        <v>8.66</v>
      </c>
      <c r="E27" s="29">
        <f>'[1]CALIF. 2DO TRIM. '!M29</f>
        <v>7.96</v>
      </c>
      <c r="F27" s="29">
        <f>'[1]CALIF. 2DO TRIM. '!R29</f>
        <v>9.27</v>
      </c>
      <c r="G27" s="29">
        <f>'[1]CALIF. 2DO TRIM. '!W29</f>
        <v>9.17</v>
      </c>
      <c r="H27" s="29">
        <f>'[1]CALIF. 2DO TRIM. '!AB29</f>
        <v>8.85</v>
      </c>
      <c r="I27" s="29">
        <f>'[1]CALIF. 2DO TRIM. '!AC29</f>
        <v>10</v>
      </c>
      <c r="J27" s="30">
        <f>'[1]CALIF. 2DO TRIM. '!AE29</f>
        <v>10</v>
      </c>
      <c r="K27" s="31">
        <f t="shared" si="0"/>
        <v>9.1300000000000008</v>
      </c>
    </row>
    <row r="28" spans="1:11" s="32" customFormat="1" ht="14.25" customHeight="1" thickTop="1" thickBot="1" x14ac:dyDescent="0.25">
      <c r="A28" s="26">
        <v>20</v>
      </c>
      <c r="B28" s="27">
        <f>'[1]LISTA CAS'!B27</f>
        <v>0</v>
      </c>
      <c r="C28" s="28" t="str">
        <f>'[1]LISTA CAS'!C27</f>
        <v>LOPEZ MARCILLO GLADYS VALENTINA</v>
      </c>
      <c r="D28" s="29">
        <f>'[1]CALIF. 2DO TRIM. '!H30</f>
        <v>9.51</v>
      </c>
      <c r="E28" s="29">
        <f>'[1]CALIF. 2DO TRIM. '!M30</f>
        <v>8.69</v>
      </c>
      <c r="F28" s="29">
        <f>'[1]CALIF. 2DO TRIM. '!R30</f>
        <v>8.9</v>
      </c>
      <c r="G28" s="29">
        <f>'[1]CALIF. 2DO TRIM. '!W30</f>
        <v>9.17</v>
      </c>
      <c r="H28" s="29">
        <f>'[1]CALIF. 2DO TRIM. '!AB30</f>
        <v>9.5299999999999994</v>
      </c>
      <c r="I28" s="29">
        <f>'[1]CALIF. 2DO TRIM. '!AC30</f>
        <v>10</v>
      </c>
      <c r="J28" s="30">
        <f>'[1]CALIF. 2DO TRIM. '!AE30</f>
        <v>10</v>
      </c>
      <c r="K28" s="31">
        <f t="shared" si="0"/>
        <v>9.4</v>
      </c>
    </row>
    <row r="29" spans="1:11" s="32" customFormat="1" ht="14.25" customHeight="1" thickTop="1" thickBot="1" x14ac:dyDescent="0.25">
      <c r="A29" s="26">
        <v>21</v>
      </c>
      <c r="B29" s="27">
        <f>'[1]LISTA CAS'!B28</f>
        <v>0</v>
      </c>
      <c r="C29" s="28" t="str">
        <f>'[1]LISTA CAS'!C28</f>
        <v>LUCAS FARIAS MADELIN ELIZABETH</v>
      </c>
      <c r="D29" s="29">
        <f>'[1]CALIF. 2DO TRIM. '!H31</f>
        <v>8.74</v>
      </c>
      <c r="E29" s="29">
        <f>'[1]CALIF. 2DO TRIM. '!M31</f>
        <v>7.17</v>
      </c>
      <c r="F29" s="29">
        <f>'[1]CALIF. 2DO TRIM. '!R31</f>
        <v>9.44</v>
      </c>
      <c r="G29" s="29">
        <f>'[1]CALIF. 2DO TRIM. '!W31</f>
        <v>8.8699999999999992</v>
      </c>
      <c r="H29" s="29">
        <f>'[1]CALIF. 2DO TRIM. '!AB31</f>
        <v>8.8800000000000008</v>
      </c>
      <c r="I29" s="29">
        <f>'[1]CALIF. 2DO TRIM. '!AC31</f>
        <v>10</v>
      </c>
      <c r="J29" s="30">
        <f>'[1]CALIF. 2DO TRIM. '!AE31</f>
        <v>10</v>
      </c>
      <c r="K29" s="31">
        <f t="shared" si="0"/>
        <v>9.01</v>
      </c>
    </row>
    <row r="30" spans="1:11" s="32" customFormat="1" ht="14.25" customHeight="1" thickTop="1" thickBot="1" x14ac:dyDescent="0.25">
      <c r="A30" s="26">
        <v>22</v>
      </c>
      <c r="B30" s="27">
        <f>'[1]LISTA CAS'!B29</f>
        <v>0</v>
      </c>
      <c r="C30" s="28" t="str">
        <f>'[1]LISTA CAS'!C29</f>
        <v>MACIAS MERO FERNANDO EMANUEL</v>
      </c>
      <c r="D30" s="29">
        <f>'[1]CALIF. 2DO TRIM. '!H32</f>
        <v>9.27</v>
      </c>
      <c r="E30" s="29">
        <f>'[1]CALIF. 2DO TRIM. '!M32</f>
        <v>9.4600000000000009</v>
      </c>
      <c r="F30" s="29">
        <f>'[1]CALIF. 2DO TRIM. '!R32</f>
        <v>9.1999999999999993</v>
      </c>
      <c r="G30" s="29">
        <f>'[1]CALIF. 2DO TRIM. '!W32</f>
        <v>9.69</v>
      </c>
      <c r="H30" s="29">
        <f>'[1]CALIF. 2DO TRIM. '!AB32</f>
        <v>10</v>
      </c>
      <c r="I30" s="29">
        <f>'[1]CALIF. 2DO TRIM. '!AC32</f>
        <v>10</v>
      </c>
      <c r="J30" s="30">
        <f>'[1]CALIF. 2DO TRIM. '!AE32</f>
        <v>10</v>
      </c>
      <c r="K30" s="31">
        <f t="shared" si="0"/>
        <v>9.66</v>
      </c>
    </row>
    <row r="31" spans="1:11" s="32" customFormat="1" ht="14.25" customHeight="1" thickTop="1" thickBot="1" x14ac:dyDescent="0.25">
      <c r="A31" s="26">
        <v>23</v>
      </c>
      <c r="B31" s="27">
        <f>'[1]LISTA CAS'!B30</f>
        <v>0</v>
      </c>
      <c r="C31" s="28" t="str">
        <f>'[1]LISTA CAS'!C30</f>
        <v>MENDOZA BRAVO ALISSE VALENTINA</v>
      </c>
      <c r="D31" s="29">
        <f>'[1]CALIF. 2DO TRIM. '!H33</f>
        <v>9.5399999999999991</v>
      </c>
      <c r="E31" s="29">
        <f>'[1]CALIF. 2DO TRIM. '!M33</f>
        <v>8.1999999999999993</v>
      </c>
      <c r="F31" s="29">
        <f>'[1]CALIF. 2DO TRIM. '!R33</f>
        <v>9.39</v>
      </c>
      <c r="G31" s="29">
        <f>'[1]CALIF. 2DO TRIM. '!W33</f>
        <v>9.69</v>
      </c>
      <c r="H31" s="29">
        <f>'[1]CALIF. 2DO TRIM. '!AB33</f>
        <v>9.41</v>
      </c>
      <c r="I31" s="29">
        <f>'[1]CALIF. 2DO TRIM. '!AC33</f>
        <v>10</v>
      </c>
      <c r="J31" s="30">
        <f>'[1]CALIF. 2DO TRIM. '!AE33</f>
        <v>10</v>
      </c>
      <c r="K31" s="31">
        <f t="shared" si="0"/>
        <v>9.4600000000000009</v>
      </c>
    </row>
    <row r="32" spans="1:11" s="32" customFormat="1" ht="14.25" customHeight="1" thickTop="1" thickBot="1" x14ac:dyDescent="0.25">
      <c r="A32" s="26">
        <v>24</v>
      </c>
      <c r="B32" s="27">
        <f>'[1]LISTA CAS'!B31</f>
        <v>0</v>
      </c>
      <c r="C32" s="28" t="str">
        <f>'[1]LISTA CAS'!C31</f>
        <v>MORALES CAICEDO ANGIE LISSETH</v>
      </c>
      <c r="D32" s="29">
        <f>'[1]CALIF. 2DO TRIM. '!H34</f>
        <v>8.7100000000000009</v>
      </c>
      <c r="E32" s="29">
        <f>'[1]CALIF. 2DO TRIM. '!M34</f>
        <v>7.5</v>
      </c>
      <c r="F32" s="29">
        <f>'[1]CALIF. 2DO TRIM. '!R34</f>
        <v>9.85</v>
      </c>
      <c r="G32" s="29">
        <f>'[1]CALIF. 2DO TRIM. '!W34</f>
        <v>9.7200000000000006</v>
      </c>
      <c r="H32" s="29">
        <f>'[1]CALIF. 2DO TRIM. '!AB34</f>
        <v>9.41</v>
      </c>
      <c r="I32" s="29">
        <f>'[1]CALIF. 2DO TRIM. '!AC34</f>
        <v>10</v>
      </c>
      <c r="J32" s="30">
        <f>'[1]CALIF. 2DO TRIM. '!AE34</f>
        <v>10</v>
      </c>
      <c r="K32" s="31">
        <f t="shared" si="0"/>
        <v>9.31</v>
      </c>
    </row>
    <row r="33" spans="1:11" s="32" customFormat="1" ht="14.25" customHeight="1" thickTop="1" thickBot="1" x14ac:dyDescent="0.25">
      <c r="A33" s="26">
        <v>25</v>
      </c>
      <c r="B33" s="27">
        <f>'[1]LISTA CAS'!B32</f>
        <v>0</v>
      </c>
      <c r="C33" s="28" t="str">
        <f>'[1]LISTA CAS'!C32</f>
        <v>MORENO MOREIRA JOSE JAHER</v>
      </c>
      <c r="D33" s="29">
        <f>'[1]CALIF. 2DO TRIM. '!H35</f>
        <v>7.71</v>
      </c>
      <c r="E33" s="29">
        <f>'[1]CALIF. 2DO TRIM. '!M35</f>
        <v>7.08</v>
      </c>
      <c r="F33" s="29">
        <f>'[1]CALIF. 2DO TRIM. '!R35</f>
        <v>9.06</v>
      </c>
      <c r="G33" s="29">
        <f>'[1]CALIF. 2DO TRIM. '!W35</f>
        <v>8.7899999999999991</v>
      </c>
      <c r="H33" s="29">
        <f>'[1]CALIF. 2DO TRIM. '!AB35</f>
        <v>8.33</v>
      </c>
      <c r="I33" s="29">
        <f>'[1]CALIF. 2DO TRIM. '!AC35</f>
        <v>10</v>
      </c>
      <c r="J33" s="30">
        <f>'[1]CALIF. 2DO TRIM. '!AE35</f>
        <v>10</v>
      </c>
      <c r="K33" s="31">
        <f t="shared" si="0"/>
        <v>8.7100000000000009</v>
      </c>
    </row>
    <row r="34" spans="1:11" s="32" customFormat="1" ht="14.25" customHeight="1" thickTop="1" thickBot="1" x14ac:dyDescent="0.25">
      <c r="A34" s="26">
        <v>26</v>
      </c>
      <c r="B34" s="27">
        <f>'[1]LISTA CAS'!B33</f>
        <v>0</v>
      </c>
      <c r="C34" s="28" t="str">
        <f>'[1]LISTA CAS'!C33</f>
        <v>MURILLO CHILA ZAIDA CHARLOTTE</v>
      </c>
      <c r="D34" s="29">
        <f>'[1]CALIF. 2DO TRIM. '!H36</f>
        <v>8.59</v>
      </c>
      <c r="E34" s="29">
        <f>'[1]CALIF. 2DO TRIM. '!M36</f>
        <v>8.76</v>
      </c>
      <c r="F34" s="29">
        <f>'[1]CALIF. 2DO TRIM. '!R36</f>
        <v>9.5</v>
      </c>
      <c r="G34" s="29">
        <f>'[1]CALIF. 2DO TRIM. '!W36</f>
        <v>9.7200000000000006</v>
      </c>
      <c r="H34" s="29">
        <f>'[1]CALIF. 2DO TRIM. '!AB36</f>
        <v>9.44</v>
      </c>
      <c r="I34" s="29">
        <f>'[1]CALIF. 2DO TRIM. '!AC36</f>
        <v>10</v>
      </c>
      <c r="J34" s="30">
        <f>'[1]CALIF. 2DO TRIM. '!AE36</f>
        <v>10</v>
      </c>
      <c r="K34" s="31">
        <f t="shared" si="0"/>
        <v>9.43</v>
      </c>
    </row>
    <row r="35" spans="1:11" s="32" customFormat="1" ht="14.25" customHeight="1" thickTop="1" thickBot="1" x14ac:dyDescent="0.25">
      <c r="A35" s="26">
        <v>27</v>
      </c>
      <c r="B35" s="27">
        <f>'[1]LISTA CAS'!B34</f>
        <v>0</v>
      </c>
      <c r="C35" s="28" t="str">
        <f>'[1]LISTA CAS'!C34</f>
        <v>ORTIZ CAGUA DANNY DAMIAN</v>
      </c>
      <c r="D35" s="29">
        <f>'[1]CALIF. 2DO TRIM. '!H37</f>
        <v>9.81</v>
      </c>
      <c r="E35" s="29">
        <f>'[1]CALIF. 2DO TRIM. '!M37</f>
        <v>9.64</v>
      </c>
      <c r="F35" s="29">
        <f>'[1]CALIF. 2DO TRIM. '!R37</f>
        <v>9.6199999999999992</v>
      </c>
      <c r="G35" s="29">
        <f>'[1]CALIF. 2DO TRIM. '!W37</f>
        <v>10</v>
      </c>
      <c r="H35" s="29">
        <f>'[1]CALIF. 2DO TRIM. '!AB37</f>
        <v>10</v>
      </c>
      <c r="I35" s="29">
        <f>'[1]CALIF. 2DO TRIM. '!AC37</f>
        <v>10</v>
      </c>
      <c r="J35" s="30">
        <f>'[1]CALIF. 2DO TRIM. '!AE37</f>
        <v>10</v>
      </c>
      <c r="K35" s="31">
        <f t="shared" si="0"/>
        <v>9.86</v>
      </c>
    </row>
    <row r="36" spans="1:11" s="32" customFormat="1" ht="14.25" customHeight="1" thickTop="1" thickBot="1" x14ac:dyDescent="0.25">
      <c r="A36" s="26">
        <v>28</v>
      </c>
      <c r="B36" s="27">
        <f>'[1]LISTA CAS'!B35</f>
        <v>0</v>
      </c>
      <c r="C36" s="28" t="str">
        <f>'[1]LISTA CAS'!C35</f>
        <v>ORTIZ ZAMBRANO ANA DALILA</v>
      </c>
      <c r="D36" s="29">
        <f>'[1]CALIF. 2DO TRIM. '!H38</f>
        <v>9.92</v>
      </c>
      <c r="E36" s="29">
        <f>'[1]CALIF. 2DO TRIM. '!M38</f>
        <v>9.75</v>
      </c>
      <c r="F36" s="29">
        <f>'[1]CALIF. 2DO TRIM. '!R38</f>
        <v>9.92</v>
      </c>
      <c r="G36" s="29">
        <f>'[1]CALIF. 2DO TRIM. '!W38</f>
        <v>9.85</v>
      </c>
      <c r="H36" s="29">
        <f>'[1]CALIF. 2DO TRIM. '!AB38</f>
        <v>10</v>
      </c>
      <c r="I36" s="29">
        <f>'[1]CALIF. 2DO TRIM. '!AC38</f>
        <v>10</v>
      </c>
      <c r="J36" s="30">
        <f>'[1]CALIF. 2DO TRIM. '!AE38</f>
        <v>10</v>
      </c>
      <c r="K36" s="31">
        <f t="shared" si="0"/>
        <v>9.92</v>
      </c>
    </row>
    <row r="37" spans="1:11" s="32" customFormat="1" ht="14.25" customHeight="1" thickTop="1" thickBot="1" x14ac:dyDescent="0.25">
      <c r="A37" s="26">
        <v>29</v>
      </c>
      <c r="B37" s="27">
        <f>'[1]LISTA CAS'!B36</f>
        <v>0</v>
      </c>
      <c r="C37" s="28" t="str">
        <f>'[1]LISTA CAS'!C36</f>
        <v>QUIROZ ORTIZ ADRIANA LUCIA</v>
      </c>
      <c r="D37" s="29">
        <f>'[1]CALIF. 2DO TRIM. '!H39</f>
        <v>9.6199999999999992</v>
      </c>
      <c r="E37" s="29">
        <f>'[1]CALIF. 2DO TRIM. '!M39</f>
        <v>8.42</v>
      </c>
      <c r="F37" s="29">
        <f>'[1]CALIF. 2DO TRIM. '!R39</f>
        <v>16.12</v>
      </c>
      <c r="G37" s="29">
        <f>'[1]CALIF. 2DO TRIM. '!W39</f>
        <v>9.36</v>
      </c>
      <c r="H37" s="29">
        <f>'[1]CALIF. 2DO TRIM. '!AB39</f>
        <v>9.65</v>
      </c>
      <c r="I37" s="29">
        <f>'[1]CALIF. 2DO TRIM. '!AC39</f>
        <v>10</v>
      </c>
      <c r="J37" s="30">
        <f>'[1]CALIF. 2DO TRIM. '!AE39</f>
        <v>10</v>
      </c>
      <c r="K37" s="31">
        <f t="shared" si="0"/>
        <v>10.45</v>
      </c>
    </row>
    <row r="38" spans="1:11" s="32" customFormat="1" ht="14.25" customHeight="1" thickTop="1" thickBot="1" x14ac:dyDescent="0.25">
      <c r="A38" s="26">
        <v>30</v>
      </c>
      <c r="B38" s="27">
        <f>'[1]LISTA CAS'!B37</f>
        <v>0</v>
      </c>
      <c r="C38" s="28" t="str">
        <f>'[1]LISTA CAS'!C37</f>
        <v>RODRIGUEZ ARRIAGA KEYLER JOSUE</v>
      </c>
      <c r="D38" s="29">
        <f>'[1]CALIF. 2DO TRIM. '!H40</f>
        <v>17.79</v>
      </c>
      <c r="E38" s="29">
        <f>'[1]CALIF. 2DO TRIM. '!M40</f>
        <v>8.0399999999999991</v>
      </c>
      <c r="F38" s="29">
        <f>'[1]CALIF. 2DO TRIM. '!R40</f>
        <v>17.07</v>
      </c>
      <c r="G38" s="29">
        <f>'[1]CALIF. 2DO TRIM. '!W40</f>
        <v>9.27</v>
      </c>
      <c r="H38" s="29">
        <f>'[1]CALIF. 2DO TRIM. '!AB40</f>
        <v>9.3000000000000007</v>
      </c>
      <c r="I38" s="29">
        <f>'[1]CALIF. 2DO TRIM. '!AC40</f>
        <v>10</v>
      </c>
      <c r="J38" s="30">
        <f>'[1]CALIF. 2DO TRIM. '!AE40</f>
        <v>10</v>
      </c>
      <c r="K38" s="31">
        <f t="shared" si="0"/>
        <v>11.63</v>
      </c>
    </row>
    <row r="39" spans="1:11" s="32" customFormat="1" ht="14.25" customHeight="1" thickTop="1" thickBot="1" x14ac:dyDescent="0.25">
      <c r="A39" s="26">
        <v>31</v>
      </c>
      <c r="B39" s="27">
        <f>'[1]LISTA CAS'!B38</f>
        <v>0</v>
      </c>
      <c r="C39" s="28" t="str">
        <f>'[1]LISTA CAS'!C38</f>
        <v>RODRIGUEZ GUILLEN CAMILA NOHELIA</v>
      </c>
      <c r="D39" s="29">
        <f>'[1]CALIF. 2DO TRIM. '!H41</f>
        <v>9.5299999999999994</v>
      </c>
      <c r="E39" s="29">
        <f>'[1]CALIF. 2DO TRIM. '!M41</f>
        <v>8.7200000000000006</v>
      </c>
      <c r="F39" s="29">
        <f>'[1]CALIF. 2DO TRIM. '!R41</f>
        <v>9.5399999999999991</v>
      </c>
      <c r="G39" s="29">
        <f>'[1]CALIF. 2DO TRIM. '!W41</f>
        <v>9.5399999999999991</v>
      </c>
      <c r="H39" s="29">
        <f>'[1]CALIF. 2DO TRIM. '!AB41</f>
        <v>9.3000000000000007</v>
      </c>
      <c r="I39" s="29">
        <f>'[1]CALIF. 2DO TRIM. '!AC41</f>
        <v>10</v>
      </c>
      <c r="J39" s="30">
        <f>'[1]CALIF. 2DO TRIM. '!AE41</f>
        <v>10</v>
      </c>
      <c r="K39" s="31">
        <f t="shared" si="0"/>
        <v>9.51</v>
      </c>
    </row>
    <row r="40" spans="1:11" s="32" customFormat="1" ht="14.25" customHeight="1" thickTop="1" thickBot="1" x14ac:dyDescent="0.25">
      <c r="A40" s="26">
        <v>32</v>
      </c>
      <c r="B40" s="27">
        <f>'[1]LISTA CAS'!B39</f>
        <v>0</v>
      </c>
      <c r="C40" s="28" t="str">
        <f>'[1]LISTA CAS'!C39</f>
        <v>ROSADO DELGADO ASHLEY ANTONELLA</v>
      </c>
      <c r="D40" s="29">
        <f>'[1]CALIF. 2DO TRIM. '!H42</f>
        <v>9.9700000000000006</v>
      </c>
      <c r="E40" s="29">
        <f>'[1]CALIF. 2DO TRIM. '!M42</f>
        <v>10</v>
      </c>
      <c r="F40" s="29">
        <f>'[1]CALIF. 2DO TRIM. '!R42</f>
        <v>10</v>
      </c>
      <c r="G40" s="29">
        <f>'[1]CALIF. 2DO TRIM. '!W42</f>
        <v>10</v>
      </c>
      <c r="H40" s="29">
        <f>'[1]CALIF. 2DO TRIM. '!AB42</f>
        <v>10</v>
      </c>
      <c r="I40" s="29">
        <f>'[1]CALIF. 2DO TRIM. '!AC42</f>
        <v>10</v>
      </c>
      <c r="J40" s="30">
        <f>'[1]CALIF. 2DO TRIM. '!AE42</f>
        <v>10</v>
      </c>
      <c r="K40" s="31">
        <f t="shared" si="0"/>
        <v>9.99</v>
      </c>
    </row>
    <row r="41" spans="1:11" s="32" customFormat="1" ht="14.25" customHeight="1" thickTop="1" thickBot="1" x14ac:dyDescent="0.25">
      <c r="A41" s="26">
        <v>33</v>
      </c>
      <c r="B41" s="27">
        <f>'[1]LISTA CAS'!B40</f>
        <v>0</v>
      </c>
      <c r="C41" s="28" t="str">
        <f>'[1]LISTA CAS'!C40</f>
        <v>SABANDO IBARRA JEREMIAS KALET</v>
      </c>
      <c r="D41" s="29">
        <f>'[1]CALIF. 2DO TRIM. '!H43</f>
        <v>9.52</v>
      </c>
      <c r="E41" s="29">
        <f>'[1]CALIF. 2DO TRIM. '!M43</f>
        <v>8.15</v>
      </c>
      <c r="F41" s="29">
        <f>'[1]CALIF. 2DO TRIM. '!R43</f>
        <v>8.3699999999999992</v>
      </c>
      <c r="G41" s="29">
        <f>'[1]CALIF. 2DO TRIM. '!W43</f>
        <v>8.6</v>
      </c>
      <c r="H41" s="29">
        <f>'[1]CALIF. 2DO TRIM. '!AB43</f>
        <v>8.42</v>
      </c>
      <c r="I41" s="29">
        <f>'[1]CALIF. 2DO TRIM. '!AC43</f>
        <v>8</v>
      </c>
      <c r="J41" s="30">
        <f>'[1]CALIF. 2DO TRIM. '!AE43</f>
        <v>10</v>
      </c>
      <c r="K41" s="31">
        <f t="shared" si="0"/>
        <v>8.7200000000000006</v>
      </c>
    </row>
    <row r="42" spans="1:11" s="32" customFormat="1" ht="14.25" customHeight="1" thickTop="1" thickBot="1" x14ac:dyDescent="0.25">
      <c r="A42" s="26">
        <v>34</v>
      </c>
      <c r="B42" s="27">
        <f>'[1]LISTA CAS'!B41</f>
        <v>0</v>
      </c>
      <c r="C42" s="28" t="str">
        <f>'[1]LISTA CAS'!C41</f>
        <v>SOLORZANO MELENDREZ JOSTIN RAFAEL</v>
      </c>
      <c r="D42" s="29">
        <f>'[1]CALIF. 2DO TRIM. '!H44</f>
        <v>9.82</v>
      </c>
      <c r="E42" s="29">
        <f>'[1]CALIF. 2DO TRIM. '!M44</f>
        <v>9.48</v>
      </c>
      <c r="F42" s="29">
        <f>'[1]CALIF. 2DO TRIM. '!R44</f>
        <v>9.69</v>
      </c>
      <c r="G42" s="29">
        <f>'[1]CALIF. 2DO TRIM. '!W44</f>
        <v>9.5299999999999994</v>
      </c>
      <c r="H42" s="29">
        <f>'[1]CALIF. 2DO TRIM. '!AB44</f>
        <v>10</v>
      </c>
      <c r="I42" s="29">
        <f>'[1]CALIF. 2DO TRIM. '!AC44</f>
        <v>10</v>
      </c>
      <c r="J42" s="30">
        <f>'[1]CALIF. 2DO TRIM. '!AE44</f>
        <v>10</v>
      </c>
      <c r="K42" s="31">
        <f t="shared" si="0"/>
        <v>9.7799999999999994</v>
      </c>
    </row>
    <row r="43" spans="1:11" s="32" customFormat="1" ht="14.25" customHeight="1" thickTop="1" thickBot="1" x14ac:dyDescent="0.25">
      <c r="A43" s="26">
        <v>35</v>
      </c>
      <c r="B43" s="27">
        <f>'[1]LISTA CAS'!B42</f>
        <v>0</v>
      </c>
      <c r="C43" s="28" t="str">
        <f>'[1]LISTA CAS'!C42</f>
        <v>SUAREZ REINA RAUL ALEJANDRO</v>
      </c>
      <c r="D43" s="29">
        <f>'[1]CALIF. 2DO TRIM. '!H45</f>
        <v>9.74</v>
      </c>
      <c r="E43" s="29">
        <f>'[1]CALIF. 2DO TRIM. '!M45</f>
        <v>9.44</v>
      </c>
      <c r="F43" s="29">
        <f>'[1]CALIF. 2DO TRIM. '!R45</f>
        <v>10</v>
      </c>
      <c r="G43" s="29">
        <f>'[1]CALIF. 2DO TRIM. '!W45</f>
        <v>10</v>
      </c>
      <c r="H43" s="29">
        <f>'[1]CALIF. 2DO TRIM. '!AB45</f>
        <v>9.82</v>
      </c>
      <c r="I43" s="29">
        <f>'[1]CALIF. 2DO TRIM. '!AC45</f>
        <v>10</v>
      </c>
      <c r="J43" s="30">
        <f>'[1]CALIF. 2DO TRIM. '!AE45</f>
        <v>10</v>
      </c>
      <c r="K43" s="31">
        <f t="shared" si="0"/>
        <v>9.85</v>
      </c>
    </row>
    <row r="44" spans="1:11" s="32" customFormat="1" ht="14.25" customHeight="1" thickTop="1" thickBot="1" x14ac:dyDescent="0.25">
      <c r="A44" s="26">
        <v>36</v>
      </c>
      <c r="B44" s="27">
        <f>'[1]LISTA CAS'!B43</f>
        <v>0</v>
      </c>
      <c r="C44" s="28" t="str">
        <f>'[1]LISTA CAS'!C43</f>
        <v>VERA FARIAS JACKSON ARIEL</v>
      </c>
      <c r="D44" s="29">
        <f>'[1]CALIF. 2DO TRIM. '!H46</f>
        <v>9.67</v>
      </c>
      <c r="E44" s="29">
        <f>'[1]CALIF. 2DO TRIM. '!M46</f>
        <v>9.3699999999999992</v>
      </c>
      <c r="F44" s="29">
        <f>'[1]CALIF. 2DO TRIM. '!R46</f>
        <v>9.2200000000000006</v>
      </c>
      <c r="G44" s="29">
        <f>'[1]CALIF. 2DO TRIM. '!W46</f>
        <v>10</v>
      </c>
      <c r="H44" s="29">
        <f>'[1]CALIF. 2DO TRIM. '!AB46</f>
        <v>9.76</v>
      </c>
      <c r="I44" s="29">
        <f>'[1]CALIF. 2DO TRIM. '!AC46</f>
        <v>10</v>
      </c>
      <c r="J44" s="30">
        <f>'[1]CALIF. 2DO TRIM. '!AE46</f>
        <v>10</v>
      </c>
      <c r="K44" s="31">
        <f t="shared" si="0"/>
        <v>9.7100000000000009</v>
      </c>
    </row>
    <row r="45" spans="1:11" s="32" customFormat="1" ht="14.25" customHeight="1" thickTop="1" thickBot="1" x14ac:dyDescent="0.25">
      <c r="A45" s="26">
        <v>37</v>
      </c>
      <c r="B45" s="27">
        <f>'[1]LISTA CAS'!B44</f>
        <v>0</v>
      </c>
      <c r="C45" s="28" t="str">
        <f>'[1]LISTA CAS'!C44</f>
        <v>ZAMBRANO CAGUA EVAN NELSIÑO</v>
      </c>
      <c r="D45" s="29">
        <f>'[1]CALIF. 2DO TRIM. '!H47</f>
        <v>7.4</v>
      </c>
      <c r="E45" s="29">
        <f>'[1]CALIF. 2DO TRIM. '!M47</f>
        <v>7.01</v>
      </c>
      <c r="F45" s="29">
        <f>'[1]CALIF. 2DO TRIM. '!R47</f>
        <v>8.2899999999999991</v>
      </c>
      <c r="G45" s="29">
        <f>'[1]CALIF. 2DO TRIM. '!W47</f>
        <v>8.36</v>
      </c>
      <c r="H45" s="29">
        <f>'[1]CALIF. 2DO TRIM. '!AB47</f>
        <v>8.3000000000000007</v>
      </c>
      <c r="I45" s="29">
        <f>'[1]CALIF. 2DO TRIM. '!AC47</f>
        <v>10</v>
      </c>
      <c r="J45" s="30">
        <f>'[1]CALIF. 2DO TRIM. '!AE47</f>
        <v>10</v>
      </c>
      <c r="K45" s="31">
        <f t="shared" si="0"/>
        <v>8.48</v>
      </c>
    </row>
    <row r="46" spans="1:11" s="32" customFormat="1" ht="14.25" customHeight="1" thickTop="1" thickBot="1" x14ac:dyDescent="0.25">
      <c r="A46" s="26">
        <v>38</v>
      </c>
      <c r="B46" s="27">
        <f>'[1]LISTA CAS'!B45</f>
        <v>0</v>
      </c>
      <c r="C46" s="28" t="str">
        <f>'[1]LISTA CAS'!C45</f>
        <v>ZAMBRANO CHILA NATHALY VIVIANA</v>
      </c>
      <c r="D46" s="29">
        <f>'[1]CALIF. 2DO TRIM. '!H48</f>
        <v>7.03</v>
      </c>
      <c r="E46" s="29">
        <f>'[1]CALIF. 2DO TRIM. '!M48</f>
        <v>7.02</v>
      </c>
      <c r="F46" s="29">
        <f>'[1]CALIF. 2DO TRIM. '!R48</f>
        <v>7.49</v>
      </c>
      <c r="G46" s="29">
        <f>'[1]CALIF. 2DO TRIM. '!W48</f>
        <v>8.0500000000000007</v>
      </c>
      <c r="H46" s="29">
        <f>'[1]CALIF. 2DO TRIM. '!AB48</f>
        <v>7.43</v>
      </c>
      <c r="I46" s="29">
        <f>'[1]CALIF. 2DO TRIM. '!AC48</f>
        <v>9</v>
      </c>
      <c r="J46" s="30">
        <f>'[1]CALIF. 2DO TRIM. '!AE48</f>
        <v>10</v>
      </c>
      <c r="K46" s="31">
        <f t="shared" si="0"/>
        <v>8</v>
      </c>
    </row>
    <row r="47" spans="1:11" s="32" customFormat="1" ht="14.25" customHeight="1" thickTop="1" thickBot="1" x14ac:dyDescent="0.25">
      <c r="A47" s="26">
        <v>39</v>
      </c>
      <c r="B47" s="27">
        <f>'[1]LISTA CAS'!B46</f>
        <v>0</v>
      </c>
      <c r="C47" s="28" t="str">
        <f>'[1]LISTA CAS'!C46</f>
        <v>ZAMBRANO ZAMBRANO ELIAM EZEQUIEL</v>
      </c>
      <c r="D47" s="29">
        <f>'[1]CALIF. 2DO TRIM. '!H49</f>
        <v>9.44</v>
      </c>
      <c r="E47" s="29">
        <f>'[1]CALIF. 2DO TRIM. '!M49</f>
        <v>9.1300000000000008</v>
      </c>
      <c r="F47" s="29">
        <f>'[1]CALIF. 2DO TRIM. '!R49</f>
        <v>9.67</v>
      </c>
      <c r="G47" s="29">
        <f>'[1]CALIF. 2DO TRIM. '!W49</f>
        <v>9.58</v>
      </c>
      <c r="H47" s="29">
        <f>'[1]CALIF. 2DO TRIM. '!AB49</f>
        <v>9.93</v>
      </c>
      <c r="I47" s="29">
        <f>'[1]CALIF. 2DO TRIM. '!AC49</f>
        <v>10</v>
      </c>
      <c r="J47" s="30">
        <f>'[1]CALIF. 2DO TRIM. '!AE49</f>
        <v>10</v>
      </c>
      <c r="K47" s="31">
        <f t="shared" si="0"/>
        <v>9.67</v>
      </c>
    </row>
    <row r="48" spans="1:11" s="32" customFormat="1" ht="14.25" customHeight="1" thickTop="1" thickBot="1" x14ac:dyDescent="0.25">
      <c r="A48" s="26">
        <v>40</v>
      </c>
      <c r="B48" s="27">
        <f>'[1]LISTA CAS'!B47</f>
        <v>0</v>
      </c>
      <c r="C48" s="28" t="str">
        <f>'[1]LISTA CAS'!C47</f>
        <v>COVEÑA SANTANA THIAGO GAEL</v>
      </c>
      <c r="D48" s="29" t="str">
        <f>'[1]CALIF. 2DO TRIM. '!H50</f>
        <v/>
      </c>
      <c r="E48" s="29">
        <f>'[1]CALIF. 2DO TRIM. '!M50</f>
        <v>7.92</v>
      </c>
      <c r="F48" s="29">
        <f>'[1]CALIF. 2DO TRIM. '!R50</f>
        <v>9.85</v>
      </c>
      <c r="G48" s="29">
        <f>'[1]CALIF. 2DO TRIM. '!W50</f>
        <v>9.16</v>
      </c>
      <c r="H48" s="29">
        <f>'[1]CALIF. 2DO TRIM. '!AB50</f>
        <v>10</v>
      </c>
      <c r="I48" s="29">
        <f>'[1]CALIF. 2DO TRIM. '!AC50</f>
        <v>10</v>
      </c>
      <c r="J48" s="30">
        <f>'[1]CALIF. 2DO TRIM. '!AE50</f>
        <v>10</v>
      </c>
      <c r="K48" s="31">
        <f t="shared" si="0"/>
        <v>9.48</v>
      </c>
    </row>
    <row r="49" spans="2:11" ht="15.75" thickTop="1" x14ac:dyDescent="0.25">
      <c r="B49" s="32"/>
      <c r="C49" s="32"/>
      <c r="D49" s="33">
        <f t="shared" ref="D49:K49" si="1">IFERROR(TRUNC(AVERAGE(D9:D48),2),"")</f>
        <v>9.41</v>
      </c>
      <c r="E49" s="33">
        <f t="shared" si="1"/>
        <v>8.6</v>
      </c>
      <c r="F49" s="33">
        <f t="shared" si="1"/>
        <v>9.73</v>
      </c>
      <c r="G49" s="33">
        <f t="shared" si="1"/>
        <v>9.43</v>
      </c>
      <c r="H49" s="33">
        <f t="shared" si="1"/>
        <v>9.52</v>
      </c>
      <c r="I49" s="33">
        <f t="shared" si="1"/>
        <v>9.92</v>
      </c>
      <c r="J49" s="33">
        <f t="shared" si="1"/>
        <v>10</v>
      </c>
      <c r="K49" s="34">
        <f t="shared" si="1"/>
        <v>9.51</v>
      </c>
    </row>
    <row r="50" spans="2:11" ht="15.75" thickBot="1" x14ac:dyDescent="0.3"/>
    <row r="51" spans="2:11" ht="16.5" thickTop="1" thickBot="1" x14ac:dyDescent="0.3">
      <c r="C51" s="35" t="s">
        <v>9</v>
      </c>
      <c r="D51" s="36" t="s">
        <v>10</v>
      </c>
    </row>
    <row r="52" spans="2:11" ht="13.5" customHeight="1" thickTop="1" thickBot="1" x14ac:dyDescent="0.3">
      <c r="C52" s="37" t="str">
        <f>'[1]CALIF. 1ER TRIM.'!D7</f>
        <v>LENGUA Y LITERATURA</v>
      </c>
      <c r="D52" s="38">
        <f>D49</f>
        <v>9.41</v>
      </c>
    </row>
    <row r="53" spans="2:11" ht="13.5" customHeight="1" thickTop="1" thickBot="1" x14ac:dyDescent="0.3">
      <c r="C53" s="37" t="str">
        <f>'[1]CALIF. 1ER TRIM.'!I7</f>
        <v>MATEMÁTICA</v>
      </c>
      <c r="D53" s="38">
        <f>E49</f>
        <v>8.6</v>
      </c>
    </row>
    <row r="54" spans="2:11" ht="13.5" customHeight="1" thickTop="1" thickBot="1" x14ac:dyDescent="0.3">
      <c r="C54" s="39" t="str">
        <f>'[1]CALIF. 1ER TRIM.'!N7</f>
        <v>ESTUDIOS SOCIALES</v>
      </c>
      <c r="D54" s="38">
        <f>F49</f>
        <v>9.73</v>
      </c>
    </row>
    <row r="55" spans="2:11" ht="13.5" customHeight="1" thickTop="1" thickBot="1" x14ac:dyDescent="0.3">
      <c r="C55" s="37" t="str">
        <f>'[1]CALIF. 1ER TRIM.'!S7</f>
        <v>CIENCIAS NATURALES</v>
      </c>
      <c r="D55" s="38">
        <f>G49</f>
        <v>9.43</v>
      </c>
    </row>
    <row r="56" spans="2:11" ht="13.5" customHeight="1" thickTop="1" thickBot="1" x14ac:dyDescent="0.3">
      <c r="C56" s="37" t="str">
        <f>'[1]CALIF. 1ER TRIM.'!X7</f>
        <v>INGLÉS</v>
      </c>
      <c r="D56" s="38">
        <f>H49</f>
        <v>9.52</v>
      </c>
    </row>
    <row r="57" spans="2:11" ht="13.5" customHeight="1" thickTop="1" thickBot="1" x14ac:dyDescent="0.3">
      <c r="C57" s="37" t="str">
        <f>'[1]CALIF. 1ER TRIM.'!AC7</f>
        <v>EDUCACIÓN FÍSICA</v>
      </c>
      <c r="D57" s="38">
        <f>I49</f>
        <v>9.92</v>
      </c>
    </row>
    <row r="58" spans="2:11" ht="13.5" customHeight="1" thickTop="1" thickBot="1" x14ac:dyDescent="0.3">
      <c r="C58" s="39" t="str">
        <f>'[1]CALIF. 1ER TRIM.'!AE7</f>
        <v>EDUCACIÓN CULTURAL Y ARÍSTICA</v>
      </c>
      <c r="D58" s="38">
        <f>J49</f>
        <v>10</v>
      </c>
    </row>
    <row r="59" spans="2:11" ht="15.75" thickTop="1" x14ac:dyDescent="0.25"/>
    <row r="61" spans="2:11" x14ac:dyDescent="0.25">
      <c r="K61" s="40"/>
    </row>
    <row r="62" spans="2:11" x14ac:dyDescent="0.25">
      <c r="C62" s="41" t="str">
        <f>[1]MENÚ!B7</f>
        <v>MGTR. YUGCHA BRAVO SHIRLEY</v>
      </c>
      <c r="D62" s="42"/>
      <c r="E62" s="42"/>
      <c r="F62" s="42"/>
      <c r="G62" s="43" t="str">
        <f>[1]MENÚ!F23</f>
        <v>MGTR. EDUARDO ZAMBRANO ESMERALDAS</v>
      </c>
      <c r="H62" s="43"/>
      <c r="I62" s="43"/>
    </row>
    <row r="63" spans="2:11" x14ac:dyDescent="0.25">
      <c r="C63" s="44" t="str">
        <f>[1]MENÚ!A7</f>
        <v>DOCENTE TUTORA</v>
      </c>
      <c r="D63" s="42"/>
      <c r="E63" s="42"/>
      <c r="F63" s="42"/>
      <c r="G63" s="45" t="str">
        <f>[1]MENÚ!C23</f>
        <v>RECTOR</v>
      </c>
      <c r="H63" s="45"/>
      <c r="I63" s="45"/>
      <c r="J63" s="46"/>
    </row>
    <row r="64" spans="2:11" ht="7.5" customHeight="1" x14ac:dyDescent="0.25">
      <c r="C64" s="42"/>
      <c r="D64" s="42"/>
      <c r="E64" s="42"/>
      <c r="F64" s="42"/>
      <c r="G64" s="42"/>
      <c r="H64" s="42"/>
      <c r="I64" s="42"/>
      <c r="J64" s="42"/>
    </row>
  </sheetData>
  <mergeCells count="10">
    <mergeCell ref="A7:K7"/>
    <mergeCell ref="G62:I62"/>
    <mergeCell ref="G63:I63"/>
    <mergeCell ref="A2:B2"/>
    <mergeCell ref="A3:B3"/>
    <mergeCell ref="C3:G3"/>
    <mergeCell ref="A4:B4"/>
    <mergeCell ref="C4:G4"/>
    <mergeCell ref="A5:B5"/>
    <mergeCell ref="E5:F5"/>
  </mergeCells>
  <pageMargins left="0.39370078740157483" right="0" top="0" bottom="0" header="0" footer="0"/>
  <pageSetup paperSize="9" scale="75" orientation="portrait" horizontalDpi="4294967292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CONSOLIDADO 2DO TRIM.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2025-11-27T01:56:19Z</dcterms:created>
  <dcterms:modified xsi:type="dcterms:W3CDTF">2025-11-27T01:56:39Z</dcterms:modified>
</cp:coreProperties>
</file>